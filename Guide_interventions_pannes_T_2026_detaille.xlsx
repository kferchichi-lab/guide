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k.ferchichi\Downloads\"/>
    </mc:Choice>
  </mc:AlternateContent>
  <xr:revisionPtr revIDLastSave="0" documentId="13_ncr:1_{95FB626B-DF12-46C8-9A75-45C96C256701}" xr6:coauthVersionLast="36" xr6:coauthVersionMax="36" xr10:uidLastSave="{00000000-0000-0000-0000-000000000000}"/>
  <bookViews>
    <workbookView xWindow="0" yWindow="0" windowWidth="23040" windowHeight="8940" activeTab="3" xr2:uid="{00000000-000D-0000-FFFF-FFFF00000000}"/>
  </bookViews>
  <sheets>
    <sheet name="Synthèse" sheetId="2" r:id="rId1"/>
    <sheet name="Guide interventions" sheetId="3" r:id="rId2"/>
    <sheet name="Presse 4" sheetId="4" r:id="rId3"/>
    <sheet name="Presse 6" sheetId="5" r:id="rId4"/>
    <sheet name="Presse 7" sheetId="6" r:id="rId5"/>
  </sheets>
  <definedNames>
    <definedName name="_xlnm._FilterDatabase" localSheetId="1" hidden="1">'Guide interventions'!$A$4:$H$163</definedName>
    <definedName name="_xlnm._FilterDatabase" localSheetId="2" hidden="1">'Presse 4'!$A$4:$H$65</definedName>
    <definedName name="_xlnm._FilterDatabase" localSheetId="3" hidden="1">'Presse 6'!$A$4:$H$59</definedName>
    <definedName name="_xlnm._FilterDatabase" localSheetId="4" hidden="1">'Presse 7'!$A$4:$H$47</definedName>
    <definedName name="_xlnm.Print_Titles" localSheetId="1">'Guide interventions'!$4:$4</definedName>
    <definedName name="_xlnm.Print_Titles" localSheetId="2">'Presse 4'!$4:$4</definedName>
    <definedName name="_xlnm.Print_Titles" localSheetId="3">'Presse 6'!$4:$4</definedName>
    <definedName name="_xlnm.Print_Titles" localSheetId="4">'Presse 7'!$4:$4</definedName>
  </definedNames>
  <calcPr calcId="191029"/>
</workbook>
</file>

<file path=xl/calcChain.xml><?xml version="1.0" encoding="utf-8"?>
<calcChain xmlns="http://schemas.openxmlformats.org/spreadsheetml/2006/main">
  <c r="F20" i="2" l="1"/>
  <c r="F19" i="2"/>
  <c r="F18" i="2"/>
  <c r="F15" i="2"/>
  <c r="F14" i="2"/>
  <c r="G13" i="2"/>
  <c r="F13" i="2"/>
  <c r="G12" i="2"/>
  <c r="F12" i="2"/>
  <c r="F7" i="2"/>
  <c r="E7" i="2"/>
  <c r="D7" i="2"/>
  <c r="F21" i="2" s="1"/>
  <c r="C7" i="2"/>
  <c r="G6" i="2"/>
  <c r="F6" i="2"/>
  <c r="E6" i="2"/>
  <c r="G5" i="2"/>
  <c r="G7" i="2" s="1"/>
  <c r="F5" i="2"/>
  <c r="E5" i="2"/>
  <c r="G4" i="2"/>
  <c r="F4" i="2"/>
  <c r="E4" i="2"/>
  <c r="G18" i="2" l="1"/>
  <c r="G14" i="2"/>
  <c r="G15" i="2"/>
  <c r="F16" i="2"/>
  <c r="G16" i="2"/>
  <c r="F17" i="2"/>
  <c r="G17" i="2" s="1"/>
  <c r="G21" i="2" l="1"/>
  <c r="G20" i="2"/>
  <c r="G19" i="2"/>
</calcChain>
</file>

<file path=xl/sharedStrings.xml><?xml version="1.0" encoding="utf-8"?>
<sst xmlns="http://schemas.openxmlformats.org/spreadsheetml/2006/main" count="1700" uniqueCount="352">
  <si>
    <t>Presse</t>
  </si>
  <si>
    <t>Codes</t>
  </si>
  <si>
    <t>Nbre de pannes</t>
  </si>
  <si>
    <t>Temps d'arrêt (min)</t>
  </si>
  <si>
    <t>Temps d'arrêt (h)</t>
  </si>
  <si>
    <t>Temps moyen (min)</t>
  </si>
  <si>
    <t>Part du temps d'arrêt</t>
  </si>
  <si>
    <t>Presse 4</t>
  </si>
  <si>
    <t>24xx</t>
  </si>
  <si>
    <t>Presse 6</t>
  </si>
  <si>
    <t>26xx</t>
  </si>
  <si>
    <t>Presse 7</t>
  </si>
  <si>
    <t>27xx</t>
  </si>
  <si>
    <t>Total</t>
  </si>
  <si>
    <t>Équipements les plus pénalisants (toutes presses confondues)</t>
  </si>
  <si>
    <t>Rang</t>
  </si>
  <si>
    <t>Équipement</t>
  </si>
  <si>
    <t>Part du total</t>
  </si>
  <si>
    <t>Cumul</t>
  </si>
  <si>
    <t>Conteneur</t>
  </si>
  <si>
    <t>Four à billette</t>
  </si>
  <si>
    <t>Groupe hydraulique</t>
  </si>
  <si>
    <t>Armoire électrique presse</t>
  </si>
  <si>
    <t>Vérins latéraux (expulsion / répulsion)</t>
  </si>
  <si>
    <t>Puller (côté non précisé)</t>
  </si>
  <si>
    <t>Chargeur</t>
  </si>
  <si>
    <t>Chargeur lopin</t>
  </si>
  <si>
    <t>Scie suiveuse</t>
  </si>
  <si>
    <t>Puller gauche</t>
  </si>
  <si>
    <t>Les dix pannes qui pèsent le plus</t>
  </si>
  <si>
    <t>Équipement (code)</t>
  </si>
  <si>
    <t>Panne</t>
  </si>
  <si>
    <t>Armoire électrique presse (2777)</t>
  </si>
  <si>
    <t>Pb communication / connexion</t>
  </si>
  <si>
    <t>Four à billette (2705)</t>
  </si>
  <si>
    <t>Pb four à billette (défaut non détaillé)</t>
  </si>
  <si>
    <t>Conteneur (2463)</t>
  </si>
  <si>
    <t>Pb retour conteneur</t>
  </si>
  <si>
    <t>Puller gauche (2617)</t>
  </si>
  <si>
    <t>Pb puller gauche</t>
  </si>
  <si>
    <t>Vérins latéraux (expulsion / répulsion) (2609)</t>
  </si>
  <si>
    <t>Pb vérin répulsion</t>
  </si>
  <si>
    <t>Vérins latéraux (expulsion / répulsion) (2711)</t>
  </si>
  <si>
    <t>Pb vérin expulsion</t>
  </si>
  <si>
    <t>Puller (côté non précisé) (2731 / 2732)</t>
  </si>
  <si>
    <t>Pb puller (défaut non détaillé)</t>
  </si>
  <si>
    <t>Scie suiveuse (2416*)</t>
  </si>
  <si>
    <t>Pb scie suiveuse</t>
  </si>
  <si>
    <t>Four à billette (2605)</t>
  </si>
  <si>
    <t>Chargeur (2607)</t>
  </si>
  <si>
    <t>Pb chargeur (défaut non détaillé)</t>
  </si>
  <si>
    <t>Guide d’intervention technique – Pannes de type T – Presses 4, 6 et 7 (Mégrine, 2026)</t>
  </si>
  <si>
    <t>Source : fichier « Arrêt 2026 » (7 janv. → 9 oct. 2026), type T, et liste des équipements MAJ 16/12/2025. Temps en minutes. * = équipement assimilé (voir « Notes &amp; hypothèses »). Interventions = préconisations à valider par la maintenance. Sécurité : consigner (LOTO) avant toute intervention.</t>
  </si>
  <si>
    <t>Code</t>
  </si>
  <si>
    <t>Temps moyen d'arrêt (min)</t>
  </si>
  <si>
    <t>Interventions possibles</t>
  </si>
  <si>
    <t>2463</t>
  </si>
  <si>
    <t>1. Contrôler le vérin de retour (fuites, joints, tige) et la pression.
2. Vérifier distributeurs/électrovannes de commande.
3. Contrôler fins de course et capteurs de position du conteneur.
4. Vérifier l’absence de blocage mécanique (colmatage, alignement).</t>
  </si>
  <si>
    <t>Arrachement conteneur / intermédiaire</t>
  </si>
  <si>
    <t>1. Arrêter, consigner et dégager la pièce arrachée/coincée.
2. Contrôler l’état de la chemise/intermédiaire et du conteneur (rayures, fissures).
3. Contrôler le chauffage et la température du conteneur.
4. Remplacer les pièces endommagées et vérifier le centrage.</t>
  </si>
  <si>
    <t>Pb avance conteneur</t>
  </si>
  <si>
    <t>1. Contrôler la pression d’avance et le groupe hydraulique.
2. Vérifier le vérin d’avance (joints, fuite) et les électrovannes.
3. Contrôler capteurs de position et fins de course.
4. Vérifier le guidage du conteneur (jeux, graissage).</t>
  </si>
  <si>
    <t>Pb pression de bridage</t>
  </si>
  <si>
    <t>1. Contrôler la pression de bridage (manomètre/capteur) et la régler à la consigne.
2. Vérifier les vérins de serrage (joints, fuites).
3. Contrôler distributeur et filtre du circuit.
4. Vérifier les capteurs de fin de course de bridage.</t>
  </si>
  <si>
    <t>Raclage conteneur</t>
  </si>
  <si>
    <t>1. Nettoyer le conteneur et éliminer l’aluminium résiduel.
2. Contrôler l’état des racleurs et du dispositif de raclage.
3. Vérifier le bridage et le centrage après intervention.</t>
  </si>
  <si>
    <t>Pb centrage</t>
  </si>
  <si>
    <t>1. Vérifier le centrage conteneur/outil/presse (comparateur ou gabarit).
2. Contrôler et remplacer les cales/éléments d’usure du centrage.
3. Régler le centrage et resserrer les fixations.
4. Tester sur un cycle de filage et revérifier.</t>
  </si>
  <si>
    <t>2417 / 2418</t>
  </si>
  <si>
    <t>1. Relever l’alarme au pupitre puller (défaut variateur, capteur, communication) puis réarmer.
2. Contrôler fins de course, capteurs de position et cellule de la tête de traction.
3. Vérifier tension et état des chaînes/train de guidage, graissage.
4. Contrôler flexibles/raccords de la tête (fuite, flexible écrasé).
5. Vérifier alimentation moteur, protections et communication avec l’armoire puller.</t>
  </si>
  <si>
    <t>Reset puller</t>
  </si>
  <si>
    <t>1. Lire et noter le défaut affiché AVANT de réarmer.
2. Remettre le puller en position initiale et réarmer.
3. Tester un cycle à vide ; si le défaut revient, contrôler capteurs de position/fins de course.
4. Vérifier l’alimentation (électrique, pneumatique/hydraulique) de l’équipement.</t>
  </si>
  <si>
    <t>Pb puller (coupure courant)</t>
  </si>
  <si>
    <t>1. Contrôler la protection/alimentation de l’armoire puller.
2. Vérifier variateur et moteur après coupure.
3. Réarmer et tester un cycle.</t>
  </si>
  <si>
    <t>2416*</t>
  </si>
  <si>
    <t>1. Contrôler le chariot de suivi (rails, galets, graissage) et la synchronisation avec le puller.
2. Vérifier la lame/disque (usure, serrage) et le moteur de sciage.
3. Contrôler capteurs de position, fins de course et vérins de serrage.
4. Nettoyer l’aspiration des copeaux/bavures.</t>
  </si>
  <si>
    <t>2451</t>
  </si>
  <si>
    <t>Pb pression</t>
  </si>
  <si>
    <t>1. Contrôler niveau d’huile, filtres (remplacer si colmatés) et manomètres/capteur de pression.
2. Vérifier pompes, limiteur de pression et distributeurs.
3. Rechercher une fuite interne/externe sur le circuit.
4. Régler la pression selon la consigne et tester sous charge.</t>
  </si>
  <si>
    <t>Pb démarrage pompe auxiliaire</t>
  </si>
  <si>
    <t>1. Contrôler le démarreur/contacteur et le relais thermique de la pompe auxiliaire.
2. Vérifier niveau d’huile et pression d’aspiration.
3. Contrôler moteur et accouplement.</t>
  </si>
  <si>
    <t>Réglage pression</t>
  </si>
  <si>
    <t>1. Contrôler la pression au manomètre et la comparer à la consigne.
2. Régler le limiteur de pression (valve de réglage) selon la procédure.
3. Contrôler filtres et niveau d’huile, vérifier la stabilité après réglage.</t>
  </si>
  <si>
    <t>Coupure pompe</t>
  </si>
  <si>
    <t>1. Identifier la protection déclenchée (disjoncteur, relais thermique) avant réarmement.
2. Contrôler moteur de pompe (échauffement, isolement, intensité).
3. Vérifier niveau d’huile, filtres et absence de cavitation.
4. Contrôler l’accouplement et le démarreur.</t>
  </si>
  <si>
    <t>Changement filtre</t>
  </si>
  <si>
    <t>1. Consigner et remplacer le filtre colmaté (référence préconisée).
2. Vérifier l’indicateur de colmatage et remettre à zéro.
3. Contrôler l’absence de fuite à la remise en service.</t>
  </si>
  <si>
    <t>Pb température d’huile</t>
  </si>
  <si>
    <t>1. Contrôler le refroidisseur/échangeur et le circuit d’eau (débit, encrassement).
2. Vérifier ventilateur et sonde de température.
3. Contrôler le niveau d’huile et la perte de charge des filtres.
4. Nettoyer l’échangeur si colmaté.</t>
  </si>
  <si>
    <t>2407</t>
  </si>
  <si>
    <t>1. Relever le défaut affiché au pupitre et faire un reset.
2. Contrôler capteurs de présence et fins de course du chargeur.
3. Vérifier vérins, flexibles et distributeurs.
4. Contrôler jeux/graissage du bras et de son guidage.
5. Vérifier la synchronisation avec four, pousseur et presse (automate).</t>
  </si>
  <si>
    <t>Reset chargeur</t>
  </si>
  <si>
    <t>1. Lire et noter le défaut affiché AVANT de réarmer.
2. Remettre le chargeur en position initiale et réarmer.
3. Tester un cycle à vide ; si le défaut revient, contrôler capteurs de position/fins de course.
4. Vérifier l’alimentation (électrique, pneumatique/hydraulique) de l’équipement.</t>
  </si>
  <si>
    <t>Pb chargement billette</t>
  </si>
  <si>
    <t>1. Contrôler le bras de chargement : jeux, guidage, graissage.
2. Vérifier les vérins (pneumatiques/hydrauliques), flexibles et distributeurs.
3. Contrôler capteurs de présence billette et fins de course.
4. Vérifier l’alignement billette/conteneur et la synchronisation avec la presse.</t>
  </si>
  <si>
    <t>Puller droit</t>
  </si>
  <si>
    <t>2417</t>
  </si>
  <si>
    <t>Pb puller droit</t>
  </si>
  <si>
    <t>1. Vérifier l’état du puller au pupitre (défaut variateur / alarme) puis faire un reset.
2. Contrôler les fins de course, capteurs de position et la cellule de tête de traction.
3. Contrôler tension/état des chaînes et du train de guidage, graissage.
4. Vérifier flexibles et raccords hydrauliques/pneumatiques de la tête (fuite, flexible écrasé).
5. Vérifier alimentation moteur, protections thermiques, câblage et connecteurs.
6. Si défaut récurrent : contrôler la communication avec l’armoire puller et la synchronisation avec la presse.</t>
  </si>
  <si>
    <t>Scie de débitage</t>
  </si>
  <si>
    <t>2429</t>
  </si>
  <si>
    <t>Pb scie de débitage</t>
  </si>
  <si>
    <t>1. Contrôler la lame (usure, serrage) et le moteur de sciage.
2. Vérifier capteurs de position/mesure et butées.
3. Contrôler vérins de serrage, flexibles et pression.
4. Contrôler l’aspiration de la scie.</t>
  </si>
  <si>
    <t>Pb robot scie de débitage</t>
  </si>
  <si>
    <t>1. Relever le défaut du robot/manipulateur au pupitre et réarmer.
2. Contrôler fins de course, graissage et vérins de préhension.
3. Vérifier capteurs de position et communication.</t>
  </si>
  <si>
    <t>Pb cycle scie de débitage</t>
  </si>
  <si>
    <t>1. Faire un reset du cycle et identifier l’étape bloquée.
2. Contrôler butées, capteurs de position et vérins de serrage.
3. Vérifier la séquence automate.</t>
  </si>
  <si>
    <t>2409</t>
  </si>
  <si>
    <t>1. Contrôler le vérin : fuite d’huile, joints, état de la tige.
2. Vérifier pression du circuit et électrovannes/distributeurs.
3. Contrôler capteurs de position / fins de course.
4. Vérifier flexibles et raccords ; purger l’air du circuit.</t>
  </si>
  <si>
    <t>2407*</t>
  </si>
  <si>
    <t>Pb mesure lopin</t>
  </si>
  <si>
    <t>1. Nettoyer et contrôler le capteur/laser de mesure de longueur.
2. Vérifier câblage et alimentation du capteur.
3. Ré-étalonner la mesure et tester sur un lopin.
4. Vérifier l’absence de calamine/obstacle dans le faisceau.</t>
  </si>
  <si>
    <t>Pb parqueur lopin</t>
  </si>
  <si>
    <t>1. Contrôler le vérin de parquage, ses joints et fins de course.
2. Vérifier capteurs de position de parquage et électrovannes.
3. Dégager le lopin mal positionné et contrôler l’alignement.
4. Vérifier la pression hydraulique/pneumatique du circuit.</t>
  </si>
  <si>
    <t>Pb chargeur lopin</t>
  </si>
  <si>
    <t>1. Reset du chargeur lopin ; relever l’alarme au pupitre.
2. Contrôler capteurs et fins de course.
3. Vérifier vérins, flexibles et distributeurs.
4. Contrôler guidage/graissage du bras de chargement.</t>
  </si>
  <si>
    <t>Circuit hydraulique</t>
  </si>
  <si>
    <t>2462</t>
  </si>
  <si>
    <t>Fuite d’huile</t>
  </si>
  <si>
    <t>1. Localiser la fuite (raccords, flexibles, joints de vérin, bouchons).
2. Resserrer ou remplacer le flexible/joint défectueux.
3. Compléter le niveau d’huile et nettoyer la zone.
4. Contrôler la pression et l’absence de reprise de fuite après redémarrage.
5. Récupérer l’huile et appliquer la procédure environnement.</t>
  </si>
  <si>
    <t>2418</t>
  </si>
  <si>
    <t>Changement flexible puller gauche</t>
  </si>
  <si>
    <t>1. Consigner et dépressuriser le circuit.
2. Remplacer le flexible par une référence identique (longueur, pression).
3. Contrôler l’étanchéité et le cheminement du flexible.</t>
  </si>
  <si>
    <t>2452</t>
  </si>
  <si>
    <t>Coupure courant interne</t>
  </si>
  <si>
    <t>1. Identifier le disjoncteur/protection déclenché (armoire générale ou départ concerné).
2. Rechercher la cause (surcharge, défaut d’isolement, court-circuit) AVANT de réarmer.
3. Réarmer, puis contrôler contacteurs, relais thermiques et tensions des 3 phases.
4. Informer la production si coupure réseau externe.</t>
  </si>
  <si>
    <t>Panne électrique</t>
  </si>
  <si>
    <t>1. Consigner et identifier la protection déclenchée.
2. Contrôler fusibles, contacteurs, relais et alimentation du départ.
3. Mesurer l’isolement du moteur/câble concerné.
4. Remplacer l’élément défectueux et tester.</t>
  </si>
  <si>
    <t>Banc de traction</t>
  </si>
  <si>
    <t>2423</t>
  </si>
  <si>
    <t>Pb table / banc de traction</t>
  </si>
  <si>
    <t>1. Contrôler capteurs de position et fins de course.
2. Vérifier moteur-réducteur, chaîne/courroie et graissage.
3. Dégager tout obstacle ou profilé coincé, contrôler l’alignement.
4. Vérifier la commande (variateur, armoire de table).</t>
  </si>
  <si>
    <t>Coupure courant table de traction</t>
  </si>
  <si>
    <t>1. Contrôler la protection (disjoncteur/fusible) de l’armoire pullers &amp; table.
2. Rechercher la cause (moteur, câble) avant réarmement.
3. Réarmer et tester le déplacement du banc.</t>
  </si>
  <si>
    <t>2405</t>
  </si>
  <si>
    <t>1. Relever l’alarme sur le pupitre du four.
2. Contrôler température/zones de chauffe (brûleurs, thermocouples, régulateurs).
3. Vérifier la chaîne d’avance, la porte et les capteurs de présence.
4. Contrôler alimentation gaz/air de combustion et électrovannes.</t>
  </si>
  <si>
    <t>Pb chaîne four</t>
  </si>
  <si>
    <t>1. Contrôler tension, usure et graissage de la chaîne.
2. Vérifier moteur-réducteur et protection thermique.
3. Contrôler capteurs et butées.</t>
  </si>
  <si>
    <t>Cisaille à chaud</t>
  </si>
  <si>
    <t>2406</t>
  </si>
  <si>
    <t>Pb cisaille à chaud</t>
  </si>
  <si>
    <t>1. Contrôler la lame et son serrage.
2. Vérifier le vérin de coupe, la pression et les flexibles du groupe hydraulique cisaille.
3. Contrôler capteurs de position et le cycle de coupe.
4. Vérifier l’alimentation électrique et les protections.</t>
  </si>
  <si>
    <t>Panne électrique (cisaille à chaud + FAB)</t>
  </si>
  <si>
    <t>1. Consigner et identifier la protection déclenchée.
2. Contrôler fusibles, contacteurs et alimentation de l’armoire cisaille.
3. Mesurer l’isolement du moteur/câble, remplacer l’élément défectueux.</t>
  </si>
  <si>
    <t>Coulisseaux</t>
  </si>
  <si>
    <t>2469</t>
  </si>
  <si>
    <t>Pb coulisseau</t>
  </si>
  <si>
    <t>1. Contrôler le guidage, le graissage et l’usure du coulisseau.
2. Vérifier la cellule/capteur de position et les fins de course.
3. Contrôler le vérin/moteur d’entraînement et sa fixation.
4. Dégager tout obstacle et vérifier l’alignement.</t>
  </si>
  <si>
    <t>Pupitre presse</t>
  </si>
  <si>
    <t>2453</t>
  </si>
  <si>
    <t>Réglage presse</t>
  </si>
  <si>
    <t>1. Vérifier les paramètres saisis au pupitre selon la fiche de réglage.
2. Contrôler les capteurs associés et tester un cycle.</t>
  </si>
  <si>
    <t>Changement sélecteur marche/arrêt</t>
  </si>
  <si>
    <t>1. Consigner, déposer le sélecteur défectueux.
2. Remplacer par une référence identique et recâbler.
3. Tester les positions marche/arrêt.</t>
  </si>
  <si>
    <t>Pousseur billette</t>
  </si>
  <si>
    <t>2402</t>
  </si>
  <si>
    <t>Pb pousseur billette</t>
  </si>
  <si>
    <t>1. Contrôler le vérin du pousseur (fuite, joints, tige) et ses fins de course.
2. Vérifier la pression hydraulique du circuit d’avance.
3. Contrôler l’alignement et les guides.
4. Contrôler capteurs de présence et séquence automate.</t>
  </si>
  <si>
    <t>Pb appel billette</t>
  </si>
  <si>
    <t>1. Contrôler les capteurs de présence billette en sortie de four.
2. Vérifier la séquence d’appel (automate) et la communication four/pousseur.
3. Contrôler la table/rouleaux d’alimentation.</t>
  </si>
  <si>
    <t>Pb avance pousseur</t>
  </si>
  <si>
    <t>1. Contrôler la pression d’avance et le vérin du pousseur.
2. Vérifier électrovannes, flexibles et fins de course.
3. Contrôler le guidage et le graissage.</t>
  </si>
  <si>
    <t>Cisaille culot</t>
  </si>
  <si>
    <t>2413</t>
  </si>
  <si>
    <t>Pb cisaille culot</t>
  </si>
  <si>
    <t>1. Contrôler lame et serrage.
2. Vérifier le vérin de coupe, la pression et les flexibles.
3. Contrôler capteurs de position/fins de course.
4. Vérifier l’évacuation du culot.</t>
  </si>
  <si>
    <t>Pb pression cisaille culot</t>
  </si>
  <si>
    <t>1. Contrôler la pression du circuit hydraulique de la cisaille (manomètre, capteur).
2. Vérifier filtre, distributeur et vérin de coupe.
3. Régler la pression selon la consigne.</t>
  </si>
  <si>
    <t>Train de guidage puller gauche</t>
  </si>
  <si>
    <t>2419</t>
  </si>
  <si>
    <t>Pb chaîne puller gauche</t>
  </si>
  <si>
    <t>1. Contrôler tension, usure et alignement de la chaîne.
2. Graisser les guidages ; remplacer maillon/galets usés.
3. Vérifier moto-réducteur et capteurs de fin de course.</t>
  </si>
  <si>
    <t>Convoyeur de chargement praticable</t>
  </si>
  <si>
    <t>2439</t>
  </si>
  <si>
    <t>Pb chaîne praticable</t>
  </si>
  <si>
    <t>1. Contrôler tension/usure de la chaîne du convoyeur (maillon cassé, déraillement).
2. Vérifier moteur-réducteur et protection thermique.
3. Contrôler capteurs et graissage.</t>
  </si>
  <si>
    <t>Système de refroidissement sortie presse</t>
  </si>
  <si>
    <t>2415</t>
  </si>
  <si>
    <t>Pb cycle refroidissement</t>
  </si>
  <si>
    <t>1. Contrôler ventilateurs/vannes d’eau ou d’air du système.
2. Vérifier les capteurs de température et les sécurités.
3. Tester le cycle.</t>
  </si>
  <si>
    <t>Piston principal</t>
  </si>
  <si>
    <t>2408</t>
  </si>
  <si>
    <t>Pb avance piston</t>
  </si>
  <si>
    <t>1. Contrôler la pression du circuit principal et les pompes.
2. Vérifier distributeurs/proportionnelles et capteur de position.
3. Contrôler joints du vérin principal (fuite interne).</t>
  </si>
  <si>
    <t>Pb position piston</t>
  </si>
  <si>
    <t>1. Contrôler le capteur/règle de position du piston et son câblage.
2. Ré-étalonner la mesure de position.
3. Vérifier la séquence de cycle (automate).</t>
  </si>
  <si>
    <t>Monorail filières</t>
  </si>
  <si>
    <t>2465</t>
  </si>
  <si>
    <t>Pb chargement filières</t>
  </si>
  <si>
    <t>1. Contrôler le chariot du monorail et le verrouillage des crochets.
2. Vérifier palan/moteur de translation et fins de course.
3. Contrôler l’alignement filière/presse.</t>
  </si>
  <si>
    <t>Pb monorail filières</t>
  </si>
  <si>
    <t>1. Contrôler le chariot, les galets et le rail du monorail.
2. Vérifier le palan/moteur de translation, fins de course et graissage.
3. Contrôler le chargement des filières (crochets, verrouillage).</t>
  </si>
  <si>
    <t>Pont roulant</t>
  </si>
  <si>
    <t>2457</t>
  </si>
  <si>
    <t>Pb pont roulant</t>
  </si>
  <si>
    <t>1. Contrôler fins de course, frein et moteur de levage/translation.
2. Vérifier câble/chaîne, crochet et alimentation (lignes de contact, enrouleur).
3. Contrôler la télécommande (batterie, récepteur) et les sécurités.</t>
  </si>
  <si>
    <t>Train de guidage puller droit</t>
  </si>
  <si>
    <t>2420</t>
  </si>
  <si>
    <t>Pb chaîne puller droit</t>
  </si>
  <si>
    <t>Four à filières</t>
  </si>
  <si>
    <t>2448</t>
  </si>
  <si>
    <t>Pb température filières</t>
  </si>
  <si>
    <t>1. Contrôler thermocouples et régulateur de température.
2. Vérifier résistances/éléments chauffants et contacteurs de puissance.
3. Contrôler consignes et sonde de sécurité.</t>
  </si>
  <si>
    <t>Pb zone 2 four à filières</t>
  </si>
  <si>
    <t>1. Contrôler thermocouple et résistances de la zone 2.
2. Vérifier contacteur de puissance et régulateur.
3. Contrôler câblage et connexions.</t>
  </si>
  <si>
    <t>Presse / colonne presse</t>
  </si>
  <si>
    <t>2411*</t>
  </si>
  <si>
    <t>Pb presse</t>
  </si>
  <si>
    <t>1. Identifier le défaut affiché au pupitre.
2. Contrôler pression hydraulique, position piston et capteurs principaux.
3. Escalader au chef d’équipe maintenance si le défaut persiste.</t>
  </si>
  <si>
    <t>Presse filières</t>
  </si>
  <si>
    <t>2471</t>
  </si>
  <si>
    <t>Pb chapeaux filière</t>
  </si>
  <si>
    <t>1. Contrôler le positionnement et le serrage du chapeau.
2. Vérifier l’état des cales et de l’outillage de montage.
3. Nettoyer les portées et remonter.</t>
  </si>
  <si>
    <t>Four à cassettes</t>
  </si>
  <si>
    <t>2718*</t>
  </si>
  <si>
    <t>Pb four à cassettes N°1</t>
  </si>
  <si>
    <t>1. Contrôler température et thermocouples des zones.
2. Vérifier le déplacement des cassettes (chaîne, vérin, fins de course).
3. Contrôler l’armoire électrique du four à cassettes.</t>
  </si>
  <si>
    <t>2605</t>
  </si>
  <si>
    <t>Coincement billette au four</t>
  </si>
  <si>
    <t>1. Arrêter le cycle, consigner et dégager la billette (outillage adapté, four refroidi si nécessaire).
2. Contrôler l’alignement du poussoir, des rouleaux/chaînes et des guides.
3. Vérifier l’état des patins d’usure et le graissage.
4. Contrôler les capteurs de présence en entrée/sortie.</t>
  </si>
  <si>
    <t>Pb température four à billette</t>
  </si>
  <si>
    <t>1. Contrôler thermocouples et régulateur de la zone concernée.
2. Vérifier brûleurs, allumage et alimentation gaz/air.
3. Contrôler vannes de régulation et consignes.
4. Vérifier l’absence de fuite d’air/chaleur (portes, joints).</t>
  </si>
  <si>
    <t>Pb four à billette – zone 1/3</t>
  </si>
  <si>
    <t>1. Contrôler thermocouple et régulation de la zone.
2. Vérifier le brûleur de la zone (allumage, flamme, électrovannes).
3. Contrôler l’alimentation gaz/air et le réglage.</t>
  </si>
  <si>
    <t>2645</t>
  </si>
  <si>
    <t>Pb pompe / réglage pompe</t>
  </si>
  <si>
    <t>1. Contrôler bruit, échauffement et pression de la pompe.
2. Vérifier accouplement, niveau d’huile et filtres.
3. Régler le limiteur/régulateur de pression si nécessaire.
4. Remplacer la pompe si débit insuffisant.</t>
  </si>
  <si>
    <t>2609</t>
  </si>
  <si>
    <t>2617</t>
  </si>
  <si>
    <t>2607</t>
  </si>
  <si>
    <t>Pb transfert billette</t>
  </si>
  <si>
    <t>1. Contrôler les capteurs de présence billette sur la zone de transfert.
2. Vérifier le vérin/poussoir de transfert et ses fins de course.
3. Contrôler l’alignement des guides et l’état des rouleaux.
4. Vérifier la séquence avec le four et le pousseur (automate).</t>
  </si>
  <si>
    <t>Pb chargeur (vérin pneumatique)</t>
  </si>
  <si>
    <t>1. Contrôler la pression d’air et les électrovannes du vérin.
2. Vérifier joints, tige et flexibles pneumatiques (fuite).
3. Contrôler les détecteurs de fin de course du vérin.
4. Remplacer le vérin/joints si nécessaire.</t>
  </si>
  <si>
    <t>Pb table chargeur billette</t>
  </si>
  <si>
    <t>1. Contrôler les capteurs de la table et les fins de course.
2. Vérifier vérin/moteur de la table et le graissage.
3. Contrôler le positionnement de la billette (butées).</t>
  </si>
  <si>
    <t>Pb mesure billette</t>
  </si>
  <si>
    <t>1. Nettoyer et contrôler le capteur/laser de mesure de longueur.
2. Vérifier le câblage et l’alimentation du capteur.
3. Ré-étalonner la mesure et tester sur une billette.</t>
  </si>
  <si>
    <t>2653</t>
  </si>
  <si>
    <t>Pb vérin conteneur</t>
  </si>
  <si>
    <t>1. Contrôler joints, fuite et tige du vérin.
2. Vérifier pression, électrovannes et flexibles.
3. Contrôler les capteurs de position.</t>
  </si>
  <si>
    <t>Pb serrage conteneur</t>
  </si>
  <si>
    <t>1. Contrôler les vérins de serrage et la pression.
2. Vérifier les capteurs de fin de course de serrage.
3. Contrôler l’usure des mâchoires/brides.</t>
  </si>
  <si>
    <t>2652</t>
  </si>
  <si>
    <t>2607*</t>
  </si>
  <si>
    <t>2618</t>
  </si>
  <si>
    <t>2629</t>
  </si>
  <si>
    <t>Pb puller billette</t>
  </si>
  <si>
    <t>1. Relever le défaut au pupitre.
2. Contrôler la tête de traction et ses capteurs.
3. Vérifier la synchronisation avec la presse.</t>
  </si>
  <si>
    <t>2613</t>
  </si>
  <si>
    <t>Serrage cisaille culot</t>
  </si>
  <si>
    <t>1. Consigner, contrôler serrage des lames et brides.
2. Vérifier l’usure de la lame et la remplacer si nécessaire.
3. Régler le jeu lame/contre-lame et tester une coupe.</t>
  </si>
  <si>
    <t>Coincement culot</t>
  </si>
  <si>
    <t>1. Arrêter le cycle, consigner, dégager le culot coincé.
2. Contrôler le convoyeur culot et l’évacuation.
3. Vérifier la lame et les capteurs de position.</t>
  </si>
  <si>
    <t>2602</t>
  </si>
  <si>
    <t>Coincement pousseur</t>
  </si>
  <si>
    <t>1. Arrêter le cycle, dégager la billette et consigner.
2. Contrôler l’alignement du pousseur et des guides.
3. Vérifier l’état des patins/galets et le graissage.</t>
  </si>
  <si>
    <t>2657</t>
  </si>
  <si>
    <t>Pb pont roulant filières</t>
  </si>
  <si>
    <t>1. Contrôler fins de course, frein et moteur de translation.
2. Vérifier ligne d’alimentation et télécommande.
3. Contrôler câble/palan.</t>
  </si>
  <si>
    <t>2606</t>
  </si>
  <si>
    <t>Serrage lame cisaille à chaud</t>
  </si>
  <si>
    <t>1. Consigner, vérifier le serrage de la lame et des brides.
2. Contrôler l’état de la lame (usure, ébréchure) et la remplacer si nécessaire.
3. Régler le jeu lame/contre-lame.</t>
  </si>
  <si>
    <t>2658</t>
  </si>
  <si>
    <t>2648</t>
  </si>
  <si>
    <t>Pb / réglage cycle presse</t>
  </si>
  <si>
    <t>1. Vérifier les paramètres du cycle presse (consignes, temporisations).
2. Contrôler la communication pupitre ↔ automate.
3. Tester un cycle à vide.</t>
  </si>
  <si>
    <t>Chaîne intercalaire</t>
  </si>
  <si>
    <t>2636</t>
  </si>
  <si>
    <t>Pb chaîne intercalaire</t>
  </si>
  <si>
    <t>1. Contrôler la tension et l’usure de la chaîne intercalaire (remplacer maillons/galets usés).
2. Vérifier moteur-réducteur, butées et capteurs.
3. Graisser la chaîne et les points de guidage.</t>
  </si>
  <si>
    <t>2608</t>
  </si>
  <si>
    <t>Pb retour piston</t>
  </si>
  <si>
    <t>1. Contrôler les vérins de retour (latéraux) : fuite, joints, pression.
2. Vérifier distributeurs et capteur de position du piston.
3. Contrôler le circuit hydraulique principal.</t>
  </si>
  <si>
    <t>2600</t>
  </si>
  <si>
    <t>Pb filage P7</t>
  </si>
  <si>
    <t>1. Relever le défaut au pupitre et le cycle de filage en cours.
2. Contrôler pression principale, vitesse et position du piston.
3. Contrôler température billette/conteneur.</t>
  </si>
  <si>
    <t>Intervention technicien italien</t>
  </si>
  <si>
    <t>1. Relever précisément le défaut et les alarmes avant intervention du technicien constructeur.
2. Préparer l’accès (consignation, schémas, historique des défauts).
3. Consigner la cause et la réparation dans l’historique pour retour d’expérience.</t>
  </si>
  <si>
    <t>2646</t>
  </si>
  <si>
    <t>Court-circuit / coupe-circuit</t>
  </si>
  <si>
    <t>1. Consigner l’armoire.
2. Localiser le départ en défaut (mesure d’isolement moteur/câble, recherche de capteur en court-circuit sur le 24 V).
3. Remplacer le fusible/disjoncteur et l’élément défectueux.
4. Remettre sous tension et contrôler l’absence de déclenchement.</t>
  </si>
  <si>
    <t>1. Relever le module/nœud en défaut sur l’automate ou le pupitre.
2. Contrôler câbles, connecteurs et switch du bus de communication (reconnecter, remplacer si oxydé/endommagé).
3. Vérifier l’alimentation 24 V du module et les fusibles.
4. Redémarrer le module/automate puis tester un cycle.
5. Si récurrent : vérifier vibrations, humidité, mise à la terre et blindage des câbles.</t>
  </si>
  <si>
    <t>Compresseur COMPAIR L45 (commun)</t>
  </si>
  <si>
    <t>2458*</t>
  </si>
  <si>
    <t>Pb compresseur</t>
  </si>
  <si>
    <t>1. Contrôler pression de service, niveau d’huile, filtres et séparateur.
2. Vérifier température, ventilation/refroidissement et sécheur d’air.
3. Contrôler protections électriques et purge des condensats.
4. Équipement commun : prévenir la production avant l’arrêt.</t>
  </si>
  <si>
    <t>2660</t>
  </si>
  <si>
    <t>2655</t>
  </si>
  <si>
    <t>Table de transfert</t>
  </si>
  <si>
    <t>2614*</t>
  </si>
  <si>
    <t>Pb table de transfert</t>
  </si>
  <si>
    <t>1. Contrôler capteurs de présence profilé et fins de course.
2. Vérifier moto-réducteur, chaîne/courroie et graissage.
3. Dégager tout profilé coincé et contrôler l’alignement.</t>
  </si>
  <si>
    <t>2777</t>
  </si>
  <si>
    <t>2705</t>
  </si>
  <si>
    <t>Pb cale chauffage</t>
  </si>
  <si>
    <t>1. Contrôler résistances/éléments chauffants et contacteurs.
2. Vérifier thermocouple et régulation.
3. Contrôler câblage et connexions de puissance.</t>
  </si>
  <si>
    <t>Pb porte four à billette</t>
  </si>
  <si>
    <t>1. Contrôler le vérin de porte, joints et fins de course.
2. Vérifier câble/chaîne de levage et guidage.
3. Contrôler électrovannes et alimentation du vérin.
4. Vérifier l’étanchéité et l’état de la porte.</t>
  </si>
  <si>
    <t>2711</t>
  </si>
  <si>
    <t>2731 / 2732</t>
  </si>
  <si>
    <t>Réglage puller</t>
  </si>
  <si>
    <t>1. Contrôler les paramètres (vitesse, force de traction) selon la fiche de réglage.
2. Vérifier le réglage des capteurs et fins de course.
3. Tester un cycle de traction.</t>
  </si>
  <si>
    <t>2702</t>
  </si>
  <si>
    <t>Pb vérin pousseur billette</t>
  </si>
  <si>
    <t>1. Contrôler joints, fuite et tige du vérin.
2. Vérifier pression et électrovannes.
3. Remplacer le vérin/joints si nécessaire.</t>
  </si>
  <si>
    <t>2728</t>
  </si>
  <si>
    <t>Coincement lopin / chargeur lopin</t>
  </si>
  <si>
    <t>1. Arrêter le cycle, consigner et dégager manuellement le lopin.
2. Contrôler l’alignement, les guides et l’état des rouleaux/mâchoires.
3. Vérifier les capteurs de présence et réglages de course du chargeur.
4. Contrôler la qualité de coupe du lopin (longueur, bavures).</t>
  </si>
  <si>
    <t>2714</t>
  </si>
  <si>
    <t>Puller 2</t>
  </si>
  <si>
    <t>2732</t>
  </si>
  <si>
    <t>Pb puller 2</t>
  </si>
  <si>
    <t>2707</t>
  </si>
  <si>
    <t>Four de revenu</t>
  </si>
  <si>
    <t>2752</t>
  </si>
  <si>
    <t>Pb four de revenu</t>
  </si>
  <si>
    <t>1. Vérifier chargement/convoyeur et capteurs.
2. Contrôler température, brûleurs/résistances et ventilation.
3. Contrôler système hydraulique et fins de course.</t>
  </si>
  <si>
    <t>2743</t>
  </si>
  <si>
    <t>2706</t>
  </si>
  <si>
    <t>2735</t>
  </si>
  <si>
    <t>2717</t>
  </si>
  <si>
    <t>2723</t>
  </si>
  <si>
    <t>Puller 1</t>
  </si>
  <si>
    <t>2731</t>
  </si>
  <si>
    <t>Pb puller 1</t>
  </si>
  <si>
    <t>2726</t>
  </si>
  <si>
    <t>Table de chargement</t>
  </si>
  <si>
    <t>2701</t>
  </si>
  <si>
    <t>Pb table sur charge</t>
  </si>
  <si>
    <t>1. Contrôler les capteurs de charge/position et les fins de course.
2. Vérifier vérin/moteur de la table et le graissage.
3. Vérifier la surcharge mécanique (billette mal positionnée).</t>
  </si>
  <si>
    <t>2729 / 2730</t>
  </si>
  <si>
    <t>2712</t>
  </si>
  <si>
    <t>2737</t>
  </si>
  <si>
    <t>Réservoir d’huile presse</t>
  </si>
  <si>
    <t>2713</t>
  </si>
  <si>
    <t>Remplissage huile</t>
  </si>
  <si>
    <t>1. Compléter le niveau avec l’huile préconisée.
2. Rechercher la cause de la baisse de niveau (fuite).
3. Contrôler les filtres.</t>
  </si>
  <si>
    <t>Table de sortie presse</t>
  </si>
  <si>
    <t>2724</t>
  </si>
  <si>
    <t>Pb rouleaux sortie presse</t>
  </si>
  <si>
    <t>1. Contrôler l’état des rouleaux (roulements bloqués) et leur entraînement.
2. Vérifier moteurs et capteurs de la table de sortie.</t>
  </si>
  <si>
    <t>2716</t>
  </si>
  <si>
    <t>Pb pont vertical</t>
  </si>
  <si>
    <t>1. Contrôler le mouvement vertical : frein, moteur de levage, fin de course haut/bas.
2. Vérifier câble/chaîne et crochet.
3. Contrôler la commande (télécommande/pupitre).</t>
  </si>
  <si>
    <t>2700*</t>
  </si>
  <si>
    <t>Montage filières</t>
  </si>
  <si>
    <t>1. Contrôler l’outillage de montage et le serrage.
2. Vérifier l’état et la propreté des filières et portées.</t>
  </si>
  <si>
    <t>Guide d’intervention – Presse 4 (codes 24xx) – 256 pannes · 8 351 min d’arrêt</t>
  </si>
  <si>
    <t>Guide d’intervention – Presse 6 (codes 26xx) – 329 pannes · 10 508 min d’arrêt</t>
  </si>
  <si>
    <t>Guide d’intervention – Presse 7 (codes 27xx) – 284 pannes · 9 753 min d’arrêt</t>
  </si>
  <si>
    <t>Synthèse chiffrée des pannes techniques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</si>
</sst>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x14ac:knownFonts="1">
    <font>
      <sz val="11"/>
      <color theme="1"/>
      <name val="Calibri"/>
      <family val="2"/>
      <scheme val="minor"/>
    </font>
    <font>
      <b/>
      <sz val="11"/>
      <name val="Calibri"/>
      <family val="2"/>
    </font>
    <font>
      <b/>
      <sz val="14"/>
      <color rgb="FF1F3864"/>
      <name val="Calibri"/>
      <family val="2"/>
    </font>
    <font>
      <b/>
      <sz val="11"/>
      <color rgb="FFFFFFFF"/>
      <name val="Calibri"/>
      <family val="2"/>
    </font>
    <font>
      <b/>
      <sz val="12"/>
      <color rgb="FF1F3864"/>
      <name val="Calibri"/>
      <family val="2"/>
    </font>
  </fonts>
  <fills count="6">
    <fill>
      <patternFill patternType="none"/>
    </fill>
    <fill>
      <patternFill patternType="gray125"/>
    </fill>
    <fill>
      <patternFill patternType="solid">
        <fgColor rgb="FF1F3864"/>
      </patternFill>
    </fill>
    <fill>
      <patternFill patternType="solid">
        <fgColor rgb="FFDDEBF7"/>
      </patternFill>
    </fill>
    <fill>
      <patternFill patternType="solid">
        <fgColor rgb="FFE2EFDA"/>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2" fillId="0" borderId="0" xfId="0" applyFont="1"/>
    <xf numFmtId="0" fontId="3" fillId="2" borderId="1" xfId="0" applyFont="1" applyFill="1" applyBorder="1" applyAlignment="1">
      <alignment horizontal="center" vertical="center" wrapText="1"/>
    </xf>
    <xf numFmtId="0" fontId="0" fillId="0" borderId="1" xfId="0" applyBorder="1" applyAlignment="1">
      <alignment horizontal="center"/>
    </xf>
    <xf numFmtId="164" fontId="0" fillId="0" borderId="1" xfId="0" applyNumberFormat="1" applyBorder="1" applyAlignment="1">
      <alignment horizontal="center"/>
    </xf>
    <xf numFmtId="0" fontId="1" fillId="0" borderId="1" xfId="0" applyFont="1" applyBorder="1" applyAlignment="1">
      <alignment horizontal="center"/>
    </xf>
    <xf numFmtId="164" fontId="1" fillId="0" borderId="1" xfId="0" applyNumberFormat="1" applyFont="1" applyBorder="1" applyAlignment="1">
      <alignment horizontal="center"/>
    </xf>
    <xf numFmtId="0" fontId="4" fillId="0" borderId="0" xfId="0" applyFont="1"/>
    <xf numFmtId="0" fontId="0" fillId="0" borderId="1" xfId="0" applyBorder="1"/>
    <xf numFmtId="164" fontId="0" fillId="0" borderId="1" xfId="0" applyNumberFormat="1" applyBorder="1"/>
    <xf numFmtId="0" fontId="0" fillId="3" borderId="1" xfId="0" applyFill="1" applyBorder="1" applyAlignment="1">
      <alignment horizontal="center" vertical="top" wrapText="1"/>
    </xf>
    <xf numFmtId="0" fontId="1" fillId="3" borderId="1" xfId="0" applyFont="1" applyFill="1" applyBorder="1" applyAlignment="1">
      <alignment horizontal="left" vertical="top" wrapText="1"/>
    </xf>
    <xf numFmtId="165" fontId="0" fillId="3" borderId="1" xfId="0" applyNumberFormat="1" applyFill="1" applyBorder="1" applyAlignment="1">
      <alignment horizontal="center" vertical="top" wrapText="1"/>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0" fillId="4" borderId="1" xfId="0" applyFill="1" applyBorder="1" applyAlignment="1">
      <alignment horizontal="center" vertical="top" wrapText="1"/>
    </xf>
    <xf numFmtId="0" fontId="1" fillId="4" borderId="1" xfId="0" applyFont="1" applyFill="1" applyBorder="1" applyAlignment="1">
      <alignment horizontal="left" vertical="top" wrapText="1"/>
    </xf>
    <xf numFmtId="165" fontId="0" fillId="4" borderId="1" xfId="0" applyNumberFormat="1" applyFill="1" applyBorder="1" applyAlignment="1">
      <alignment horizontal="center" vertical="top" wrapText="1"/>
    </xf>
    <xf numFmtId="0" fontId="0" fillId="5" borderId="1" xfId="0" applyFill="1" applyBorder="1" applyAlignment="1">
      <alignment horizontal="center" vertical="top" wrapText="1"/>
    </xf>
    <xf numFmtId="0" fontId="1" fillId="5" borderId="1" xfId="0" applyFont="1" applyFill="1" applyBorder="1" applyAlignment="1">
      <alignment horizontal="left" vertical="top" wrapText="1"/>
    </xf>
    <xf numFmtId="165" fontId="0" fillId="5" borderId="1" xfId="0" applyNumberFormat="1" applyFill="1" applyBorder="1" applyAlignment="1">
      <alignment horizontal="center" vertical="top" wrapText="1"/>
    </xf>
    <xf numFmtId="0" fontId="0" fillId="0" borderId="0" xfId="0" applyAlignment="1">
      <alignment vertical="top" wrapText="1"/>
    </xf>
    <xf numFmtId="0" fontId="0" fillId="0" borderId="0" xfId="0"/>
    <xf numFmtId="0" fontId="2"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10"/>
  <c:chart>
    <c:title>
      <c:tx>
        <c:rich>
          <a:bodyPr/>
          <a:lstStyle/>
          <a:p>
            <a:pPr>
              <a:defRPr/>
            </a:pPr>
            <a:r>
              <a:rPr lang="fr-FR"/>
              <a:t>Top 10 équipements – temps d’arrêt (min)</a:t>
            </a:r>
          </a:p>
        </c:rich>
      </c:tx>
      <c:overlay val="0"/>
    </c:title>
    <c:autoTitleDeleted val="0"/>
    <c:plotArea>
      <c:layout>
        <c:manualLayout>
          <c:layoutTarget val="inner"/>
          <c:xMode val="edge"/>
          <c:yMode val="edge"/>
          <c:x val="0.31183317093965046"/>
          <c:y val="0.18131481481481482"/>
          <c:w val="0.6578826908633254"/>
          <c:h val="0.77556790123456787"/>
        </c:manualLayout>
      </c:layout>
      <c:barChart>
        <c:barDir val="bar"/>
        <c:grouping val="clustered"/>
        <c:varyColors val="1"/>
        <c:ser>
          <c:idx val="0"/>
          <c:order val="0"/>
          <c:spPr>
            <a:ln>
              <a:prstDash val="solid"/>
            </a:ln>
          </c:spPr>
          <c:invertIfNegative val="1"/>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Synthèse!$B$12:$B$21</c:f>
              <c:strCache>
                <c:ptCount val="10"/>
                <c:pt idx="0">
                  <c:v>Conteneur</c:v>
                </c:pt>
                <c:pt idx="1">
                  <c:v>Four à billette</c:v>
                </c:pt>
                <c:pt idx="2">
                  <c:v>Groupe hydraulique</c:v>
                </c:pt>
                <c:pt idx="3">
                  <c:v>Armoire électrique presse</c:v>
                </c:pt>
                <c:pt idx="4">
                  <c:v>Vérins latéraux (expulsion / répulsion)</c:v>
                </c:pt>
                <c:pt idx="5">
                  <c:v>Puller (côté non précisé)</c:v>
                </c:pt>
                <c:pt idx="6">
                  <c:v>Chargeur</c:v>
                </c:pt>
                <c:pt idx="7">
                  <c:v>Chargeur lopin</c:v>
                </c:pt>
                <c:pt idx="8">
                  <c:v>Scie suiveuse</c:v>
                </c:pt>
                <c:pt idx="9">
                  <c:v>Puller gauche</c:v>
                </c:pt>
              </c:strCache>
            </c:strRef>
          </c:cat>
          <c:val>
            <c:numRef>
              <c:f>Synthèse!$D$12:$D$21</c:f>
              <c:numCache>
                <c:formatCode>General</c:formatCode>
                <c:ptCount val="10"/>
                <c:pt idx="0">
                  <c:v>3572</c:v>
                </c:pt>
                <c:pt idx="1">
                  <c:v>3407</c:v>
                </c:pt>
                <c:pt idx="2">
                  <c:v>2479</c:v>
                </c:pt>
                <c:pt idx="3">
                  <c:v>2442</c:v>
                </c:pt>
                <c:pt idx="4">
                  <c:v>2382</c:v>
                </c:pt>
                <c:pt idx="5">
                  <c:v>2045</c:v>
                </c:pt>
                <c:pt idx="6">
                  <c:v>1844</c:v>
                </c:pt>
                <c:pt idx="7">
                  <c:v>1331</c:v>
                </c:pt>
                <c:pt idx="8">
                  <c:v>1278</c:v>
                </c:pt>
                <c:pt idx="9">
                  <c:v>1097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A9E9-4C30-9E85-66DC4D23E0BD}"/>
            </c:ext>
          </c:extLst>
        </c:ser>
        <c:dLbls>
          <c:showLegendKey val="0"/>
          <c:showVal val="0"/>
          <c:showCatName val="0"/>
          <c:showSerName val="0"/>
          <c:showPercent val="0"/>
          <c:showBubbleSize val="0"/>
        </c:dLbls>
        <c:gapWidth val="75"/>
        <c:overlap val="40"/>
        <c:axId val="10"/>
        <c:axId val="100"/>
      </c:barChart>
      <c:catAx>
        <c:axId val="10"/>
        <c:scaling>
          <c:orientation val="maxMin"/>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t"/>
        <c:majorGridlines/>
        <c:numFmt formatCode="General" sourceLinked="1"/>
        <c:majorTickMark val="none"/>
        <c:minorTickMark val="none"/>
        <c:tickLblPos val="nextTo"/>
        <c:crossAx val="10"/>
        <c:crosses val="autoZero"/>
        <c:crossBetween val="between"/>
      </c:valAx>
    </c:plotArea>
    <c:legend>
      <c:legendPos val="r"/>
      <c:layout>
        <c:manualLayout>
          <c:xMode val="edge"/>
          <c:yMode val="edge"/>
          <c:x val="1.447029210563709E-2"/>
          <c:y val="0.18323672839506172"/>
          <c:w val="0.27657978604632277"/>
          <c:h val="0.80504684278261363"/>
        </c:manualLayout>
      </c:layout>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137160</xdr:colOff>
      <xdr:row>2</xdr:row>
      <xdr:rowOff>152400</xdr:rowOff>
    </xdr:from>
    <xdr:ext cx="6827520" cy="433578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35"/>
  <sheetViews>
    <sheetView workbookViewId="0">
      <selection activeCell="E4" sqref="E4"/>
    </sheetView>
  </sheetViews>
  <sheetFormatPr baseColWidth="10" defaultColWidth="8.88671875" defaultRowHeight="14.4" x14ac:dyDescent="0.3"/>
  <cols>
    <col min="1" max="1" width="12" customWidth="1"/>
    <col min="2" max="2" width="42" customWidth="1"/>
    <col min="3" max="3" width="40" customWidth="1"/>
    <col min="4" max="4" width="14" customWidth="1"/>
    <col min="5" max="5" width="16" customWidth="1"/>
    <col min="6" max="7" width="14" customWidth="1"/>
  </cols>
  <sheetData>
    <row r="1" spans="1:7" ht="18" x14ac:dyDescent="0.35">
      <c r="A1" s="23" t="s">
        <v>351</v>
      </c>
      <c r="B1" s="23"/>
    </row>
    <row r="3" spans="1:7" ht="36" customHeight="1" x14ac:dyDescent="0.3">
      <c r="A3" s="2" t="s">
        <v>0</v>
      </c>
      <c r="B3" s="2" t="s">
        <v>1</v>
      </c>
      <c r="C3" s="2" t="s">
        <v>2</v>
      </c>
      <c r="D3" s="2" t="s">
        <v>3</v>
      </c>
      <c r="E3" s="2" t="s">
        <v>4</v>
      </c>
      <c r="F3" s="2" t="s">
        <v>5</v>
      </c>
      <c r="G3" s="2" t="s">
        <v>6</v>
      </c>
    </row>
    <row r="4" spans="1:7" x14ac:dyDescent="0.3">
      <c r="A4" s="3" t="s">
        <v>7</v>
      </c>
      <c r="B4" s="3" t="s">
        <v>8</v>
      </c>
      <c r="C4" s="3">
        <v>256</v>
      </c>
      <c r="D4" s="3">
        <v>8351</v>
      </c>
      <c r="E4" s="3">
        <f>ROUND(D4/60,1)</f>
        <v>139.19999999999999</v>
      </c>
      <c r="F4" s="3">
        <f>ROUND(D4/C4,1)</f>
        <v>32.6</v>
      </c>
      <c r="G4" s="4">
        <f>D4/$D$7</f>
        <v>0.29187054382776456</v>
      </c>
    </row>
    <row r="5" spans="1:7" x14ac:dyDescent="0.3">
      <c r="A5" s="3" t="s">
        <v>9</v>
      </c>
      <c r="B5" s="3" t="s">
        <v>10</v>
      </c>
      <c r="C5" s="3">
        <v>329</v>
      </c>
      <c r="D5" s="3">
        <v>10508</v>
      </c>
      <c r="E5" s="3">
        <f>ROUND(D5/60,1)</f>
        <v>175.1</v>
      </c>
      <c r="F5" s="3">
        <f>ROUND(D5/C5,1)</f>
        <v>31.9</v>
      </c>
      <c r="G5" s="4">
        <f>D5/$D$7</f>
        <v>0.36725849294002516</v>
      </c>
    </row>
    <row r="6" spans="1:7" x14ac:dyDescent="0.3">
      <c r="A6" s="3" t="s">
        <v>11</v>
      </c>
      <c r="B6" s="3" t="s">
        <v>12</v>
      </c>
      <c r="C6" s="3">
        <v>284</v>
      </c>
      <c r="D6" s="3">
        <v>9753</v>
      </c>
      <c r="E6" s="3">
        <f>ROUND(D6/60,1)</f>
        <v>162.6</v>
      </c>
      <c r="F6" s="3">
        <f>ROUND(D6/C6,1)</f>
        <v>34.299999999999997</v>
      </c>
      <c r="G6" s="4">
        <f>D6/$D$7</f>
        <v>0.34087096323221028</v>
      </c>
    </row>
    <row r="7" spans="1:7" x14ac:dyDescent="0.3">
      <c r="A7" s="5" t="s">
        <v>13</v>
      </c>
      <c r="B7" s="5"/>
      <c r="C7" s="5">
        <f>SUM(C4:C6)</f>
        <v>869</v>
      </c>
      <c r="D7" s="5">
        <f>SUM(D4:D6)</f>
        <v>28612</v>
      </c>
      <c r="E7" s="5">
        <f>ROUND(D7/60,1)</f>
        <v>476.9</v>
      </c>
      <c r="F7" s="5">
        <f>ROUND(D7/C7,1)</f>
        <v>32.9</v>
      </c>
      <c r="G7" s="6">
        <f>SUM(G4:G6)</f>
        <v>1</v>
      </c>
    </row>
    <row r="10" spans="1:7" ht="15.6" x14ac:dyDescent="0.3">
      <c r="A10" s="7" t="s">
        <v>14</v>
      </c>
    </row>
    <row r="11" spans="1:7" ht="36" customHeight="1" x14ac:dyDescent="0.3">
      <c r="A11" s="2" t="s">
        <v>15</v>
      </c>
      <c r="B11" s="2" t="s">
        <v>16</v>
      </c>
      <c r="C11" s="2" t="s">
        <v>2</v>
      </c>
      <c r="D11" s="2" t="s">
        <v>3</v>
      </c>
      <c r="E11" s="2" t="s">
        <v>5</v>
      </c>
      <c r="F11" s="2" t="s">
        <v>17</v>
      </c>
      <c r="G11" s="2" t="s">
        <v>18</v>
      </c>
    </row>
    <row r="12" spans="1:7" x14ac:dyDescent="0.3">
      <c r="A12" s="8">
        <v>1</v>
      </c>
      <c r="B12" s="8" t="s">
        <v>19</v>
      </c>
      <c r="C12" s="8">
        <v>65</v>
      </c>
      <c r="D12" s="8">
        <v>3572</v>
      </c>
      <c r="E12" s="8">
        <v>55</v>
      </c>
      <c r="F12" s="9">
        <f t="shared" ref="F12:F21" si="0">D12/$D$7</f>
        <v>0.12484272333286733</v>
      </c>
      <c r="G12" s="9">
        <f>SUM($F$12:F12)</f>
        <v>0.12484272333286733</v>
      </c>
    </row>
    <row r="13" spans="1:7" x14ac:dyDescent="0.3">
      <c r="A13" s="8">
        <v>2</v>
      </c>
      <c r="B13" s="8" t="s">
        <v>20</v>
      </c>
      <c r="C13" s="8">
        <v>104</v>
      </c>
      <c r="D13" s="8">
        <v>3407</v>
      </c>
      <c r="E13" s="8">
        <v>32.799999999999997</v>
      </c>
      <c r="F13" s="9">
        <f t="shared" si="0"/>
        <v>0.11907591220466937</v>
      </c>
      <c r="G13" s="9">
        <f>SUM($F$12:F13)</f>
        <v>0.2439186355375367</v>
      </c>
    </row>
    <row r="14" spans="1:7" x14ac:dyDescent="0.3">
      <c r="A14" s="8">
        <v>3</v>
      </c>
      <c r="B14" s="8" t="s">
        <v>21</v>
      </c>
      <c r="C14" s="8">
        <v>78</v>
      </c>
      <c r="D14" s="8">
        <v>2479</v>
      </c>
      <c r="E14" s="8">
        <v>31.8</v>
      </c>
      <c r="F14" s="9">
        <f t="shared" si="0"/>
        <v>8.6641968404865086E-2</v>
      </c>
      <c r="G14" s="9">
        <f>SUM($F$12:F14)</f>
        <v>0.33056060394240178</v>
      </c>
    </row>
    <row r="15" spans="1:7" x14ac:dyDescent="0.3">
      <c r="A15" s="8">
        <v>4</v>
      </c>
      <c r="B15" s="8" t="s">
        <v>22</v>
      </c>
      <c r="C15" s="8">
        <v>37</v>
      </c>
      <c r="D15" s="8">
        <v>2442</v>
      </c>
      <c r="E15" s="8">
        <v>66</v>
      </c>
      <c r="F15" s="9">
        <f t="shared" si="0"/>
        <v>8.5348804697329791E-2</v>
      </c>
      <c r="G15" s="9">
        <f>SUM($F$12:F15)</f>
        <v>0.41590940863973158</v>
      </c>
    </row>
    <row r="16" spans="1:7" x14ac:dyDescent="0.3">
      <c r="A16" s="8">
        <v>5</v>
      </c>
      <c r="B16" s="8" t="s">
        <v>23</v>
      </c>
      <c r="C16" s="8">
        <v>38</v>
      </c>
      <c r="D16" s="8">
        <v>2382</v>
      </c>
      <c r="E16" s="8">
        <v>62.7</v>
      </c>
      <c r="F16" s="9">
        <f t="shared" si="0"/>
        <v>8.325178246889417E-2</v>
      </c>
      <c r="G16" s="9">
        <f>SUM($F$12:F16)</f>
        <v>0.49916119110862578</v>
      </c>
    </row>
    <row r="17" spans="1:7" x14ac:dyDescent="0.3">
      <c r="A17" s="8">
        <v>6</v>
      </c>
      <c r="B17" s="8" t="s">
        <v>24</v>
      </c>
      <c r="C17" s="8">
        <v>96</v>
      </c>
      <c r="D17" s="8">
        <v>2045</v>
      </c>
      <c r="E17" s="8">
        <v>21.3</v>
      </c>
      <c r="F17" s="9">
        <f t="shared" si="0"/>
        <v>7.1473507619180768E-2</v>
      </c>
      <c r="G17" s="9">
        <f>SUM($F$12:F17)</f>
        <v>0.57063469872780659</v>
      </c>
    </row>
    <row r="18" spans="1:7" x14ac:dyDescent="0.3">
      <c r="A18" s="8">
        <v>7</v>
      </c>
      <c r="B18" s="8" t="s">
        <v>25</v>
      </c>
      <c r="C18" s="8">
        <v>79</v>
      </c>
      <c r="D18" s="8">
        <v>1844</v>
      </c>
      <c r="E18" s="8">
        <v>23.3</v>
      </c>
      <c r="F18" s="9">
        <f t="shared" si="0"/>
        <v>6.4448483153921432E-2</v>
      </c>
      <c r="G18" s="9">
        <f>SUM($F$12:F18)</f>
        <v>0.63508318188172797</v>
      </c>
    </row>
    <row r="19" spans="1:7" x14ac:dyDescent="0.3">
      <c r="A19" s="8">
        <v>8</v>
      </c>
      <c r="B19" s="8" t="s">
        <v>26</v>
      </c>
      <c r="C19" s="8">
        <v>44</v>
      </c>
      <c r="D19" s="8">
        <v>1331</v>
      </c>
      <c r="E19" s="8">
        <v>30.2</v>
      </c>
      <c r="F19" s="9">
        <f t="shared" si="0"/>
        <v>4.6518943100796871E-2</v>
      </c>
      <c r="G19" s="9">
        <f>SUM($F$12:F19)</f>
        <v>0.68160212498252482</v>
      </c>
    </row>
    <row r="20" spans="1:7" x14ac:dyDescent="0.3">
      <c r="A20" s="8">
        <v>9</v>
      </c>
      <c r="B20" s="8" t="s">
        <v>27</v>
      </c>
      <c r="C20" s="8">
        <v>24</v>
      </c>
      <c r="D20" s="8">
        <v>1278</v>
      </c>
      <c r="E20" s="8">
        <v>53.2</v>
      </c>
      <c r="F20" s="9">
        <f t="shared" si="0"/>
        <v>4.4666573465678733E-2</v>
      </c>
      <c r="G20" s="9">
        <f>SUM($F$12:F20)</f>
        <v>0.72626869844820352</v>
      </c>
    </row>
    <row r="21" spans="1:7" x14ac:dyDescent="0.3">
      <c r="A21" s="8">
        <v>10</v>
      </c>
      <c r="B21" s="8" t="s">
        <v>28</v>
      </c>
      <c r="C21" s="8">
        <v>40</v>
      </c>
      <c r="D21" s="8">
        <v>1097</v>
      </c>
      <c r="E21" s="8">
        <v>27.4</v>
      </c>
      <c r="F21" s="9">
        <f t="shared" si="0"/>
        <v>3.8340556409897947E-2</v>
      </c>
      <c r="G21" s="9">
        <f>SUM($F$12:F21)</f>
        <v>0.76460925485810149</v>
      </c>
    </row>
    <row r="24" spans="1:7" ht="15.6" x14ac:dyDescent="0.3">
      <c r="A24" s="7" t="s">
        <v>29</v>
      </c>
    </row>
    <row r="25" spans="1:7" ht="36" customHeight="1" x14ac:dyDescent="0.3">
      <c r="A25" s="2" t="s">
        <v>0</v>
      </c>
      <c r="B25" s="2" t="s">
        <v>30</v>
      </c>
      <c r="C25" s="2" t="s">
        <v>31</v>
      </c>
      <c r="D25" s="2" t="s">
        <v>2</v>
      </c>
      <c r="E25" s="2" t="s">
        <v>3</v>
      </c>
      <c r="F25" s="2" t="s">
        <v>5</v>
      </c>
    </row>
    <row r="26" spans="1:7" x14ac:dyDescent="0.3">
      <c r="A26" s="8" t="s">
        <v>11</v>
      </c>
      <c r="B26" s="8" t="s">
        <v>32</v>
      </c>
      <c r="C26" s="8" t="s">
        <v>33</v>
      </c>
      <c r="D26" s="8">
        <v>27</v>
      </c>
      <c r="E26" s="8">
        <v>2061</v>
      </c>
      <c r="F26" s="8">
        <v>76.3</v>
      </c>
    </row>
    <row r="27" spans="1:7" x14ac:dyDescent="0.3">
      <c r="A27" s="8" t="s">
        <v>11</v>
      </c>
      <c r="B27" s="8" t="s">
        <v>34</v>
      </c>
      <c r="C27" s="8" t="s">
        <v>35</v>
      </c>
      <c r="D27" s="8">
        <v>22</v>
      </c>
      <c r="E27" s="8">
        <v>1180</v>
      </c>
      <c r="F27" s="8">
        <v>53.6</v>
      </c>
    </row>
    <row r="28" spans="1:7" x14ac:dyDescent="0.3">
      <c r="A28" s="8" t="s">
        <v>7</v>
      </c>
      <c r="B28" s="8" t="s">
        <v>36</v>
      </c>
      <c r="C28" s="8" t="s">
        <v>37</v>
      </c>
      <c r="D28" s="8">
        <v>19</v>
      </c>
      <c r="E28" s="8">
        <v>1162</v>
      </c>
      <c r="F28" s="8">
        <v>61.2</v>
      </c>
    </row>
    <row r="29" spans="1:7" x14ac:dyDescent="0.3">
      <c r="A29" s="8" t="s">
        <v>9</v>
      </c>
      <c r="B29" s="8" t="s">
        <v>38</v>
      </c>
      <c r="C29" s="8" t="s">
        <v>39</v>
      </c>
      <c r="D29" s="8">
        <v>32</v>
      </c>
      <c r="E29" s="8">
        <v>1002</v>
      </c>
      <c r="F29" s="8">
        <v>31.3</v>
      </c>
    </row>
    <row r="30" spans="1:7" x14ac:dyDescent="0.3">
      <c r="A30" s="8" t="s">
        <v>9</v>
      </c>
      <c r="B30" s="8" t="s">
        <v>40</v>
      </c>
      <c r="C30" s="8" t="s">
        <v>41</v>
      </c>
      <c r="D30" s="8">
        <v>16</v>
      </c>
      <c r="E30" s="8">
        <v>910</v>
      </c>
      <c r="F30" s="8">
        <v>56.9</v>
      </c>
    </row>
    <row r="31" spans="1:7" x14ac:dyDescent="0.3">
      <c r="A31" s="8" t="s">
        <v>11</v>
      </c>
      <c r="B31" s="8" t="s">
        <v>42</v>
      </c>
      <c r="C31" s="8" t="s">
        <v>43</v>
      </c>
      <c r="D31" s="8">
        <v>9</v>
      </c>
      <c r="E31" s="8">
        <v>907</v>
      </c>
      <c r="F31" s="8">
        <v>100.8</v>
      </c>
    </row>
    <row r="32" spans="1:7" x14ac:dyDescent="0.3">
      <c r="A32" s="8" t="s">
        <v>11</v>
      </c>
      <c r="B32" s="8" t="s">
        <v>44</v>
      </c>
      <c r="C32" s="8" t="s">
        <v>45</v>
      </c>
      <c r="D32" s="8">
        <v>39</v>
      </c>
      <c r="E32" s="8">
        <v>877</v>
      </c>
      <c r="F32" s="8">
        <v>22.5</v>
      </c>
    </row>
    <row r="33" spans="1:6" x14ac:dyDescent="0.3">
      <c r="A33" s="8" t="s">
        <v>7</v>
      </c>
      <c r="B33" s="8" t="s">
        <v>46</v>
      </c>
      <c r="C33" s="8" t="s">
        <v>47</v>
      </c>
      <c r="D33" s="8">
        <v>8</v>
      </c>
      <c r="E33" s="8">
        <v>819</v>
      </c>
      <c r="F33" s="8">
        <v>102.4</v>
      </c>
    </row>
    <row r="34" spans="1:6" x14ac:dyDescent="0.3">
      <c r="A34" s="8" t="s">
        <v>9</v>
      </c>
      <c r="B34" s="8" t="s">
        <v>48</v>
      </c>
      <c r="C34" s="8" t="s">
        <v>35</v>
      </c>
      <c r="D34" s="8">
        <v>31</v>
      </c>
      <c r="E34" s="8">
        <v>803</v>
      </c>
      <c r="F34" s="8">
        <v>25.9</v>
      </c>
    </row>
    <row r="35" spans="1:6" x14ac:dyDescent="0.3">
      <c r="A35" s="8" t="s">
        <v>9</v>
      </c>
      <c r="B35" s="8" t="s">
        <v>49</v>
      </c>
      <c r="C35" s="8" t="s">
        <v>50</v>
      </c>
      <c r="D35" s="8">
        <v>25</v>
      </c>
      <c r="E35" s="8">
        <v>796</v>
      </c>
      <c r="F35" s="8">
        <v>31.8</v>
      </c>
    </row>
  </sheetData>
  <pageMargins left="0.75" right="0.75" top="1" bottom="1" header="0.5" footer="0.5"/>
  <pageSetup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163"/>
  <sheetViews>
    <sheetView workbookViewId="0">
      <pane ySplit="4" topLeftCell="A5" activePane="bottomLeft" state="frozen"/>
      <selection pane="bottomLeft"/>
    </sheetView>
  </sheetViews>
  <sheetFormatPr baseColWidth="10" defaultColWidth="8.88671875" defaultRowHeight="14.4" x14ac:dyDescent="0.3"/>
  <cols>
    <col min="1" max="1" width="11" customWidth="1"/>
    <col min="2" max="2" width="28" customWidth="1"/>
    <col min="3" max="3" width="13" customWidth="1"/>
    <col min="4" max="4" width="10" customWidth="1"/>
    <col min="5" max="6" width="12" customWidth="1"/>
    <col min="7" max="7" width="30" customWidth="1"/>
    <col min="8" max="8" width="80" customWidth="1"/>
  </cols>
  <sheetData>
    <row r="1" spans="1:8" ht="18" x14ac:dyDescent="0.35">
      <c r="A1" s="1" t="s">
        <v>51</v>
      </c>
    </row>
    <row r="2" spans="1:8" ht="34.049999999999997" customHeight="1" x14ac:dyDescent="0.3">
      <c r="A2" s="21" t="s">
        <v>52</v>
      </c>
      <c r="B2" s="22"/>
      <c r="C2" s="22"/>
      <c r="D2" s="22"/>
      <c r="E2" s="22"/>
      <c r="F2" s="22"/>
      <c r="G2" s="22"/>
      <c r="H2" s="22"/>
    </row>
    <row r="4" spans="1:8" ht="48" customHeight="1" x14ac:dyDescent="0.3">
      <c r="A4" s="2" t="s">
        <v>0</v>
      </c>
      <c r="B4" s="2" t="s">
        <v>16</v>
      </c>
      <c r="C4" s="2" t="s">
        <v>53</v>
      </c>
      <c r="D4" s="2" t="s">
        <v>2</v>
      </c>
      <c r="E4" s="2" t="s">
        <v>3</v>
      </c>
      <c r="F4" s="2" t="s">
        <v>54</v>
      </c>
      <c r="G4" s="2" t="s">
        <v>31</v>
      </c>
      <c r="H4" s="2" t="s">
        <v>55</v>
      </c>
    </row>
    <row r="5" spans="1:8" ht="64.05" customHeight="1" x14ac:dyDescent="0.3">
      <c r="A5" s="10" t="s">
        <v>7</v>
      </c>
      <c r="B5" s="11" t="s">
        <v>19</v>
      </c>
      <c r="C5" s="10" t="s">
        <v>56</v>
      </c>
      <c r="D5" s="10">
        <v>19</v>
      </c>
      <c r="E5" s="10">
        <v>1162</v>
      </c>
      <c r="F5" s="12">
        <v>61.2</v>
      </c>
      <c r="G5" s="13" t="s">
        <v>37</v>
      </c>
      <c r="H5" s="14" t="s">
        <v>57</v>
      </c>
    </row>
    <row r="6" spans="1:8" ht="78.45" customHeight="1" x14ac:dyDescent="0.3">
      <c r="A6" s="10" t="s">
        <v>7</v>
      </c>
      <c r="B6" s="11" t="s">
        <v>19</v>
      </c>
      <c r="C6" s="10" t="s">
        <v>56</v>
      </c>
      <c r="D6" s="10">
        <v>2</v>
      </c>
      <c r="E6" s="10">
        <v>499</v>
      </c>
      <c r="F6" s="12">
        <v>249.5</v>
      </c>
      <c r="G6" s="13" t="s">
        <v>58</v>
      </c>
      <c r="H6" s="14" t="s">
        <v>59</v>
      </c>
    </row>
    <row r="7" spans="1:8" ht="64.05" customHeight="1" x14ac:dyDescent="0.3">
      <c r="A7" s="10" t="s">
        <v>7</v>
      </c>
      <c r="B7" s="11" t="s">
        <v>19</v>
      </c>
      <c r="C7" s="10" t="s">
        <v>56</v>
      </c>
      <c r="D7" s="10">
        <v>6</v>
      </c>
      <c r="E7" s="10">
        <v>438</v>
      </c>
      <c r="F7" s="12">
        <v>73</v>
      </c>
      <c r="G7" s="13" t="s">
        <v>60</v>
      </c>
      <c r="H7" s="14" t="s">
        <v>61</v>
      </c>
    </row>
    <row r="8" spans="1:8" ht="78.45" customHeight="1" x14ac:dyDescent="0.3">
      <c r="A8" s="10" t="s">
        <v>7</v>
      </c>
      <c r="B8" s="11" t="s">
        <v>19</v>
      </c>
      <c r="C8" s="10" t="s">
        <v>56</v>
      </c>
      <c r="D8" s="10">
        <v>5</v>
      </c>
      <c r="E8" s="10">
        <v>292</v>
      </c>
      <c r="F8" s="12">
        <v>58.4</v>
      </c>
      <c r="G8" s="13" t="s">
        <v>62</v>
      </c>
      <c r="H8" s="14" t="s">
        <v>63</v>
      </c>
    </row>
    <row r="9" spans="1:8" ht="49.5" customHeight="1" x14ac:dyDescent="0.3">
      <c r="A9" s="10" t="s">
        <v>7</v>
      </c>
      <c r="B9" s="11" t="s">
        <v>19</v>
      </c>
      <c r="C9" s="10" t="s">
        <v>56</v>
      </c>
      <c r="D9" s="10">
        <v>4</v>
      </c>
      <c r="E9" s="10">
        <v>191</v>
      </c>
      <c r="F9" s="12">
        <v>47.8</v>
      </c>
      <c r="G9" s="13" t="s">
        <v>64</v>
      </c>
      <c r="H9" s="14" t="s">
        <v>65</v>
      </c>
    </row>
    <row r="10" spans="1:8" ht="64.05" customHeight="1" x14ac:dyDescent="0.3">
      <c r="A10" s="10" t="s">
        <v>7</v>
      </c>
      <c r="B10" s="11" t="s">
        <v>19</v>
      </c>
      <c r="C10" s="10" t="s">
        <v>56</v>
      </c>
      <c r="D10" s="10">
        <v>4</v>
      </c>
      <c r="E10" s="10">
        <v>37</v>
      </c>
      <c r="F10" s="12">
        <v>9.1999999999999993</v>
      </c>
      <c r="G10" s="13" t="s">
        <v>66</v>
      </c>
      <c r="H10" s="14" t="s">
        <v>67</v>
      </c>
    </row>
    <row r="11" spans="1:8" ht="121.95" customHeight="1" x14ac:dyDescent="0.3">
      <c r="A11" s="10" t="s">
        <v>7</v>
      </c>
      <c r="B11" s="11" t="s">
        <v>24</v>
      </c>
      <c r="C11" s="10" t="s">
        <v>68</v>
      </c>
      <c r="D11" s="10">
        <v>29</v>
      </c>
      <c r="E11" s="10">
        <v>786</v>
      </c>
      <c r="F11" s="12">
        <v>27.1</v>
      </c>
      <c r="G11" s="13" t="s">
        <v>45</v>
      </c>
      <c r="H11" s="14" t="s">
        <v>69</v>
      </c>
    </row>
    <row r="12" spans="1:8" ht="93" customHeight="1" x14ac:dyDescent="0.3">
      <c r="A12" s="10" t="s">
        <v>7</v>
      </c>
      <c r="B12" s="11" t="s">
        <v>24</v>
      </c>
      <c r="C12" s="10" t="s">
        <v>68</v>
      </c>
      <c r="D12" s="10">
        <v>7</v>
      </c>
      <c r="E12" s="10">
        <v>54</v>
      </c>
      <c r="F12" s="12">
        <v>7.7</v>
      </c>
      <c r="G12" s="13" t="s">
        <v>70</v>
      </c>
      <c r="H12" s="14" t="s">
        <v>71</v>
      </c>
    </row>
    <row r="13" spans="1:8" ht="49.5" customHeight="1" x14ac:dyDescent="0.3">
      <c r="A13" s="10" t="s">
        <v>7</v>
      </c>
      <c r="B13" s="11" t="s">
        <v>24</v>
      </c>
      <c r="C13" s="10" t="s">
        <v>68</v>
      </c>
      <c r="D13" s="10">
        <v>1</v>
      </c>
      <c r="E13" s="10">
        <v>21</v>
      </c>
      <c r="F13" s="12">
        <v>21</v>
      </c>
      <c r="G13" s="13" t="s">
        <v>72</v>
      </c>
      <c r="H13" s="14" t="s">
        <v>73</v>
      </c>
    </row>
    <row r="14" spans="1:8" ht="78.45" customHeight="1" x14ac:dyDescent="0.3">
      <c r="A14" s="10" t="s">
        <v>7</v>
      </c>
      <c r="B14" s="11" t="s">
        <v>27</v>
      </c>
      <c r="C14" s="10" t="s">
        <v>74</v>
      </c>
      <c r="D14" s="10">
        <v>8</v>
      </c>
      <c r="E14" s="10">
        <v>819</v>
      </c>
      <c r="F14" s="12">
        <v>102.4</v>
      </c>
      <c r="G14" s="13" t="s">
        <v>47</v>
      </c>
      <c r="H14" s="14" t="s">
        <v>75</v>
      </c>
    </row>
    <row r="15" spans="1:8" ht="78.45" customHeight="1" x14ac:dyDescent="0.3">
      <c r="A15" s="10" t="s">
        <v>7</v>
      </c>
      <c r="B15" s="11" t="s">
        <v>21</v>
      </c>
      <c r="C15" s="10" t="s">
        <v>76</v>
      </c>
      <c r="D15" s="10">
        <v>21</v>
      </c>
      <c r="E15" s="10">
        <v>315</v>
      </c>
      <c r="F15" s="12">
        <v>15</v>
      </c>
      <c r="G15" s="13" t="s">
        <v>77</v>
      </c>
      <c r="H15" s="14" t="s">
        <v>78</v>
      </c>
    </row>
    <row r="16" spans="1:8" ht="64.05" customHeight="1" x14ac:dyDescent="0.3">
      <c r="A16" s="10" t="s">
        <v>7</v>
      </c>
      <c r="B16" s="11" t="s">
        <v>21</v>
      </c>
      <c r="C16" s="10" t="s">
        <v>76</v>
      </c>
      <c r="D16" s="10">
        <v>1</v>
      </c>
      <c r="E16" s="10">
        <v>245</v>
      </c>
      <c r="F16" s="12">
        <v>245</v>
      </c>
      <c r="G16" s="13" t="s">
        <v>79</v>
      </c>
      <c r="H16" s="14" t="s">
        <v>80</v>
      </c>
    </row>
    <row r="17" spans="1:8" ht="49.5" customHeight="1" x14ac:dyDescent="0.3">
      <c r="A17" s="10" t="s">
        <v>7</v>
      </c>
      <c r="B17" s="11" t="s">
        <v>21</v>
      </c>
      <c r="C17" s="10" t="s">
        <v>76</v>
      </c>
      <c r="D17" s="10">
        <v>5</v>
      </c>
      <c r="E17" s="10">
        <v>103</v>
      </c>
      <c r="F17" s="12">
        <v>20.6</v>
      </c>
      <c r="G17" s="13" t="s">
        <v>81</v>
      </c>
      <c r="H17" s="14" t="s">
        <v>82</v>
      </c>
    </row>
    <row r="18" spans="1:8" ht="78.45" customHeight="1" x14ac:dyDescent="0.3">
      <c r="A18" s="10" t="s">
        <v>7</v>
      </c>
      <c r="B18" s="11" t="s">
        <v>21</v>
      </c>
      <c r="C18" s="10" t="s">
        <v>76</v>
      </c>
      <c r="D18" s="10">
        <v>14</v>
      </c>
      <c r="E18" s="10">
        <v>102</v>
      </c>
      <c r="F18" s="12">
        <v>7.3</v>
      </c>
      <c r="G18" s="13" t="s">
        <v>83</v>
      </c>
      <c r="H18" s="14" t="s">
        <v>84</v>
      </c>
    </row>
    <row r="19" spans="1:8" ht="49.5" customHeight="1" x14ac:dyDescent="0.3">
      <c r="A19" s="10" t="s">
        <v>7</v>
      </c>
      <c r="B19" s="11" t="s">
        <v>21</v>
      </c>
      <c r="C19" s="10" t="s">
        <v>76</v>
      </c>
      <c r="D19" s="10">
        <v>1</v>
      </c>
      <c r="E19" s="10">
        <v>33</v>
      </c>
      <c r="F19" s="12">
        <v>33</v>
      </c>
      <c r="G19" s="13" t="s">
        <v>85</v>
      </c>
      <c r="H19" s="14" t="s">
        <v>86</v>
      </c>
    </row>
    <row r="20" spans="1:8" ht="78.45" customHeight="1" x14ac:dyDescent="0.3">
      <c r="A20" s="10" t="s">
        <v>7</v>
      </c>
      <c r="B20" s="11" t="s">
        <v>21</v>
      </c>
      <c r="C20" s="10" t="s">
        <v>76</v>
      </c>
      <c r="D20" s="10">
        <v>1</v>
      </c>
      <c r="E20" s="10">
        <v>6</v>
      </c>
      <c r="F20" s="12">
        <v>6</v>
      </c>
      <c r="G20" s="13" t="s">
        <v>87</v>
      </c>
      <c r="H20" s="14" t="s">
        <v>88</v>
      </c>
    </row>
    <row r="21" spans="1:8" ht="78.45" customHeight="1" x14ac:dyDescent="0.3">
      <c r="A21" s="10" t="s">
        <v>7</v>
      </c>
      <c r="B21" s="11" t="s">
        <v>25</v>
      </c>
      <c r="C21" s="10" t="s">
        <v>89</v>
      </c>
      <c r="D21" s="10">
        <v>19</v>
      </c>
      <c r="E21" s="10">
        <v>490</v>
      </c>
      <c r="F21" s="12">
        <v>25.8</v>
      </c>
      <c r="G21" s="13" t="s">
        <v>50</v>
      </c>
      <c r="H21" s="14" t="s">
        <v>90</v>
      </c>
    </row>
    <row r="22" spans="1:8" ht="93" customHeight="1" x14ac:dyDescent="0.3">
      <c r="A22" s="10" t="s">
        <v>7</v>
      </c>
      <c r="B22" s="11" t="s">
        <v>25</v>
      </c>
      <c r="C22" s="10" t="s">
        <v>89</v>
      </c>
      <c r="D22" s="10">
        <v>5</v>
      </c>
      <c r="E22" s="10">
        <v>82</v>
      </c>
      <c r="F22" s="12">
        <v>16.399999999999999</v>
      </c>
      <c r="G22" s="13" t="s">
        <v>91</v>
      </c>
      <c r="H22" s="14" t="s">
        <v>92</v>
      </c>
    </row>
    <row r="23" spans="1:8" ht="93" customHeight="1" x14ac:dyDescent="0.3">
      <c r="A23" s="10" t="s">
        <v>7</v>
      </c>
      <c r="B23" s="11" t="s">
        <v>25</v>
      </c>
      <c r="C23" s="10" t="s">
        <v>89</v>
      </c>
      <c r="D23" s="10">
        <v>1</v>
      </c>
      <c r="E23" s="10">
        <v>15</v>
      </c>
      <c r="F23" s="12">
        <v>15</v>
      </c>
      <c r="G23" s="13" t="s">
        <v>93</v>
      </c>
      <c r="H23" s="14" t="s">
        <v>94</v>
      </c>
    </row>
    <row r="24" spans="1:8" ht="165.45" customHeight="1" x14ac:dyDescent="0.3">
      <c r="A24" s="10" t="s">
        <v>7</v>
      </c>
      <c r="B24" s="11" t="s">
        <v>95</v>
      </c>
      <c r="C24" s="10" t="s">
        <v>96</v>
      </c>
      <c r="D24" s="10">
        <v>16</v>
      </c>
      <c r="E24" s="10">
        <v>512</v>
      </c>
      <c r="F24" s="12">
        <v>32</v>
      </c>
      <c r="G24" s="13" t="s">
        <v>97</v>
      </c>
      <c r="H24" s="14" t="s">
        <v>98</v>
      </c>
    </row>
    <row r="25" spans="1:8" ht="64.05" customHeight="1" x14ac:dyDescent="0.3">
      <c r="A25" s="10" t="s">
        <v>7</v>
      </c>
      <c r="B25" s="11" t="s">
        <v>99</v>
      </c>
      <c r="C25" s="10" t="s">
        <v>100</v>
      </c>
      <c r="D25" s="10">
        <v>10</v>
      </c>
      <c r="E25" s="10">
        <v>156</v>
      </c>
      <c r="F25" s="12">
        <v>15.6</v>
      </c>
      <c r="G25" s="13" t="s">
        <v>101</v>
      </c>
      <c r="H25" s="14" t="s">
        <v>102</v>
      </c>
    </row>
    <row r="26" spans="1:8" ht="49.5" customHeight="1" x14ac:dyDescent="0.3">
      <c r="A26" s="10" t="s">
        <v>7</v>
      </c>
      <c r="B26" s="11" t="s">
        <v>99</v>
      </c>
      <c r="C26" s="10" t="s">
        <v>100</v>
      </c>
      <c r="D26" s="10">
        <v>3</v>
      </c>
      <c r="E26" s="10">
        <v>145</v>
      </c>
      <c r="F26" s="12">
        <v>48.3</v>
      </c>
      <c r="G26" s="13" t="s">
        <v>103</v>
      </c>
      <c r="H26" s="14" t="s">
        <v>104</v>
      </c>
    </row>
    <row r="27" spans="1:8" ht="49.5" customHeight="1" x14ac:dyDescent="0.3">
      <c r="A27" s="10" t="s">
        <v>7</v>
      </c>
      <c r="B27" s="11" t="s">
        <v>99</v>
      </c>
      <c r="C27" s="10" t="s">
        <v>100</v>
      </c>
      <c r="D27" s="10">
        <v>2</v>
      </c>
      <c r="E27" s="10">
        <v>120</v>
      </c>
      <c r="F27" s="12">
        <v>60</v>
      </c>
      <c r="G27" s="13" t="s">
        <v>105</v>
      </c>
      <c r="H27" s="14" t="s">
        <v>106</v>
      </c>
    </row>
    <row r="28" spans="1:8" ht="64.05" customHeight="1" x14ac:dyDescent="0.3">
      <c r="A28" s="10" t="s">
        <v>7</v>
      </c>
      <c r="B28" s="11" t="s">
        <v>23</v>
      </c>
      <c r="C28" s="10" t="s">
        <v>107</v>
      </c>
      <c r="D28" s="10">
        <v>2</v>
      </c>
      <c r="E28" s="10">
        <v>200</v>
      </c>
      <c r="F28" s="12">
        <v>100</v>
      </c>
      <c r="G28" s="13" t="s">
        <v>41</v>
      </c>
      <c r="H28" s="14" t="s">
        <v>108</v>
      </c>
    </row>
    <row r="29" spans="1:8" ht="64.05" customHeight="1" x14ac:dyDescent="0.3">
      <c r="A29" s="10" t="s">
        <v>7</v>
      </c>
      <c r="B29" s="11" t="s">
        <v>23</v>
      </c>
      <c r="C29" s="10" t="s">
        <v>107</v>
      </c>
      <c r="D29" s="10">
        <v>3</v>
      </c>
      <c r="E29" s="10">
        <v>135</v>
      </c>
      <c r="F29" s="12">
        <v>45</v>
      </c>
      <c r="G29" s="13" t="s">
        <v>43</v>
      </c>
      <c r="H29" s="14" t="s">
        <v>108</v>
      </c>
    </row>
    <row r="30" spans="1:8" ht="64.05" customHeight="1" x14ac:dyDescent="0.3">
      <c r="A30" s="10" t="s">
        <v>7</v>
      </c>
      <c r="B30" s="11" t="s">
        <v>26</v>
      </c>
      <c r="C30" s="10" t="s">
        <v>109</v>
      </c>
      <c r="D30" s="10">
        <v>5</v>
      </c>
      <c r="E30" s="10">
        <v>139</v>
      </c>
      <c r="F30" s="12">
        <v>27.8</v>
      </c>
      <c r="G30" s="13" t="s">
        <v>110</v>
      </c>
      <c r="H30" s="14" t="s">
        <v>111</v>
      </c>
    </row>
    <row r="31" spans="1:8" ht="64.05" customHeight="1" x14ac:dyDescent="0.3">
      <c r="A31" s="10" t="s">
        <v>7</v>
      </c>
      <c r="B31" s="11" t="s">
        <v>26</v>
      </c>
      <c r="C31" s="10" t="s">
        <v>109</v>
      </c>
      <c r="D31" s="10">
        <v>1</v>
      </c>
      <c r="E31" s="10">
        <v>60</v>
      </c>
      <c r="F31" s="12">
        <v>60</v>
      </c>
      <c r="G31" s="13" t="s">
        <v>112</v>
      </c>
      <c r="H31" s="14" t="s">
        <v>113</v>
      </c>
    </row>
    <row r="32" spans="1:8" ht="64.05" customHeight="1" x14ac:dyDescent="0.3">
      <c r="A32" s="10" t="s">
        <v>7</v>
      </c>
      <c r="B32" s="11" t="s">
        <v>26</v>
      </c>
      <c r="C32" s="10" t="s">
        <v>109</v>
      </c>
      <c r="D32" s="10">
        <v>1</v>
      </c>
      <c r="E32" s="10">
        <v>50</v>
      </c>
      <c r="F32" s="12">
        <v>50</v>
      </c>
      <c r="G32" s="13" t="s">
        <v>114</v>
      </c>
      <c r="H32" s="14" t="s">
        <v>115</v>
      </c>
    </row>
    <row r="33" spans="1:8" ht="78.45" customHeight="1" x14ac:dyDescent="0.3">
      <c r="A33" s="10" t="s">
        <v>7</v>
      </c>
      <c r="B33" s="11" t="s">
        <v>116</v>
      </c>
      <c r="C33" s="10" t="s">
        <v>117</v>
      </c>
      <c r="D33" s="10">
        <v>3</v>
      </c>
      <c r="E33" s="10">
        <v>105</v>
      </c>
      <c r="F33" s="12">
        <v>35</v>
      </c>
      <c r="G33" s="13" t="s">
        <v>118</v>
      </c>
      <c r="H33" s="14" t="s">
        <v>119</v>
      </c>
    </row>
    <row r="34" spans="1:8" ht="165.45" customHeight="1" x14ac:dyDescent="0.3">
      <c r="A34" s="10" t="s">
        <v>7</v>
      </c>
      <c r="B34" s="11" t="s">
        <v>28</v>
      </c>
      <c r="C34" s="10" t="s">
        <v>120</v>
      </c>
      <c r="D34" s="10">
        <v>7</v>
      </c>
      <c r="E34" s="10">
        <v>82</v>
      </c>
      <c r="F34" s="12">
        <v>11.7</v>
      </c>
      <c r="G34" s="13" t="s">
        <v>39</v>
      </c>
      <c r="H34" s="14" t="s">
        <v>98</v>
      </c>
    </row>
    <row r="35" spans="1:8" ht="49.5" customHeight="1" x14ac:dyDescent="0.3">
      <c r="A35" s="10" t="s">
        <v>7</v>
      </c>
      <c r="B35" s="11" t="s">
        <v>28</v>
      </c>
      <c r="C35" s="10" t="s">
        <v>120</v>
      </c>
      <c r="D35" s="10">
        <v>1</v>
      </c>
      <c r="E35" s="10">
        <v>13</v>
      </c>
      <c r="F35" s="12">
        <v>13</v>
      </c>
      <c r="G35" s="13" t="s">
        <v>121</v>
      </c>
      <c r="H35" s="14" t="s">
        <v>122</v>
      </c>
    </row>
    <row r="36" spans="1:8" ht="107.55" customHeight="1" x14ac:dyDescent="0.3">
      <c r="A36" s="10" t="s">
        <v>7</v>
      </c>
      <c r="B36" s="11" t="s">
        <v>22</v>
      </c>
      <c r="C36" s="10" t="s">
        <v>123</v>
      </c>
      <c r="D36" s="10">
        <v>3</v>
      </c>
      <c r="E36" s="10">
        <v>56</v>
      </c>
      <c r="F36" s="12">
        <v>18.7</v>
      </c>
      <c r="G36" s="13" t="s">
        <v>124</v>
      </c>
      <c r="H36" s="14" t="s">
        <v>125</v>
      </c>
    </row>
    <row r="37" spans="1:8" ht="64.05" customHeight="1" x14ac:dyDescent="0.3">
      <c r="A37" s="10" t="s">
        <v>7</v>
      </c>
      <c r="B37" s="11" t="s">
        <v>22</v>
      </c>
      <c r="C37" s="10" t="s">
        <v>123</v>
      </c>
      <c r="D37" s="10">
        <v>1</v>
      </c>
      <c r="E37" s="10">
        <v>37</v>
      </c>
      <c r="F37" s="12">
        <v>37</v>
      </c>
      <c r="G37" s="13" t="s">
        <v>126</v>
      </c>
      <c r="H37" s="14" t="s">
        <v>127</v>
      </c>
    </row>
    <row r="38" spans="1:8" ht="64.05" customHeight="1" x14ac:dyDescent="0.3">
      <c r="A38" s="10" t="s">
        <v>7</v>
      </c>
      <c r="B38" s="11" t="s">
        <v>128</v>
      </c>
      <c r="C38" s="10" t="s">
        <v>129</v>
      </c>
      <c r="D38" s="10">
        <v>2</v>
      </c>
      <c r="E38" s="10">
        <v>75</v>
      </c>
      <c r="F38" s="12">
        <v>37.5</v>
      </c>
      <c r="G38" s="13" t="s">
        <v>130</v>
      </c>
      <c r="H38" s="14" t="s">
        <v>131</v>
      </c>
    </row>
    <row r="39" spans="1:8" ht="49.5" customHeight="1" x14ac:dyDescent="0.3">
      <c r="A39" s="10" t="s">
        <v>7</v>
      </c>
      <c r="B39" s="11" t="s">
        <v>128</v>
      </c>
      <c r="C39" s="10" t="s">
        <v>129</v>
      </c>
      <c r="D39" s="10">
        <v>1</v>
      </c>
      <c r="E39" s="10">
        <v>17</v>
      </c>
      <c r="F39" s="12">
        <v>17</v>
      </c>
      <c r="G39" s="13" t="s">
        <v>132</v>
      </c>
      <c r="H39" s="14" t="s">
        <v>133</v>
      </c>
    </row>
    <row r="40" spans="1:8" ht="78.45" customHeight="1" x14ac:dyDescent="0.3">
      <c r="A40" s="10" t="s">
        <v>7</v>
      </c>
      <c r="B40" s="11" t="s">
        <v>20</v>
      </c>
      <c r="C40" s="10" t="s">
        <v>134</v>
      </c>
      <c r="D40" s="10">
        <v>4</v>
      </c>
      <c r="E40" s="10">
        <v>62</v>
      </c>
      <c r="F40" s="12">
        <v>15.5</v>
      </c>
      <c r="G40" s="13" t="s">
        <v>35</v>
      </c>
      <c r="H40" s="14" t="s">
        <v>135</v>
      </c>
    </row>
    <row r="41" spans="1:8" ht="49.5" customHeight="1" x14ac:dyDescent="0.3">
      <c r="A41" s="10" t="s">
        <v>7</v>
      </c>
      <c r="B41" s="11" t="s">
        <v>20</v>
      </c>
      <c r="C41" s="10" t="s">
        <v>134</v>
      </c>
      <c r="D41" s="10">
        <v>1</v>
      </c>
      <c r="E41" s="10">
        <v>30</v>
      </c>
      <c r="F41" s="12">
        <v>30</v>
      </c>
      <c r="G41" s="13" t="s">
        <v>136</v>
      </c>
      <c r="H41" s="14" t="s">
        <v>137</v>
      </c>
    </row>
    <row r="42" spans="1:8" ht="78.45" customHeight="1" x14ac:dyDescent="0.3">
      <c r="A42" s="10" t="s">
        <v>7</v>
      </c>
      <c r="B42" s="11" t="s">
        <v>138</v>
      </c>
      <c r="C42" s="10" t="s">
        <v>139</v>
      </c>
      <c r="D42" s="10">
        <v>3</v>
      </c>
      <c r="E42" s="10">
        <v>43</v>
      </c>
      <c r="F42" s="12">
        <v>14.3</v>
      </c>
      <c r="G42" s="13" t="s">
        <v>140</v>
      </c>
      <c r="H42" s="14" t="s">
        <v>141</v>
      </c>
    </row>
    <row r="43" spans="1:8" ht="49.5" customHeight="1" x14ac:dyDescent="0.3">
      <c r="A43" s="10" t="s">
        <v>7</v>
      </c>
      <c r="B43" s="11" t="s">
        <v>138</v>
      </c>
      <c r="C43" s="10" t="s">
        <v>139</v>
      </c>
      <c r="D43" s="10">
        <v>1</v>
      </c>
      <c r="E43" s="10">
        <v>40</v>
      </c>
      <c r="F43" s="12">
        <v>40</v>
      </c>
      <c r="G43" s="13" t="s">
        <v>142</v>
      </c>
      <c r="H43" s="14" t="s">
        <v>143</v>
      </c>
    </row>
    <row r="44" spans="1:8" ht="64.05" customHeight="1" x14ac:dyDescent="0.3">
      <c r="A44" s="10" t="s">
        <v>7</v>
      </c>
      <c r="B44" s="11" t="s">
        <v>144</v>
      </c>
      <c r="C44" s="10" t="s">
        <v>145</v>
      </c>
      <c r="D44" s="10">
        <v>5</v>
      </c>
      <c r="E44" s="10">
        <v>78</v>
      </c>
      <c r="F44" s="12">
        <v>15.6</v>
      </c>
      <c r="G44" s="13" t="s">
        <v>146</v>
      </c>
      <c r="H44" s="14" t="s">
        <v>147</v>
      </c>
    </row>
    <row r="45" spans="1:8" ht="34.950000000000003" customHeight="1" x14ac:dyDescent="0.3">
      <c r="A45" s="10" t="s">
        <v>7</v>
      </c>
      <c r="B45" s="11" t="s">
        <v>148</v>
      </c>
      <c r="C45" s="10" t="s">
        <v>149</v>
      </c>
      <c r="D45" s="10">
        <v>2</v>
      </c>
      <c r="E45" s="10">
        <v>52</v>
      </c>
      <c r="F45" s="12">
        <v>26</v>
      </c>
      <c r="G45" s="13" t="s">
        <v>150</v>
      </c>
      <c r="H45" s="14" t="s">
        <v>151</v>
      </c>
    </row>
    <row r="46" spans="1:8" ht="49.5" customHeight="1" x14ac:dyDescent="0.3">
      <c r="A46" s="10" t="s">
        <v>7</v>
      </c>
      <c r="B46" s="11" t="s">
        <v>148</v>
      </c>
      <c r="C46" s="10" t="s">
        <v>149</v>
      </c>
      <c r="D46" s="10">
        <v>1</v>
      </c>
      <c r="E46" s="10">
        <v>10</v>
      </c>
      <c r="F46" s="12">
        <v>10</v>
      </c>
      <c r="G46" s="13" t="s">
        <v>152</v>
      </c>
      <c r="H46" s="14" t="s">
        <v>153</v>
      </c>
    </row>
    <row r="47" spans="1:8" ht="64.05" customHeight="1" x14ac:dyDescent="0.3">
      <c r="A47" s="10" t="s">
        <v>7</v>
      </c>
      <c r="B47" s="11" t="s">
        <v>154</v>
      </c>
      <c r="C47" s="10" t="s">
        <v>155</v>
      </c>
      <c r="D47" s="10">
        <v>2</v>
      </c>
      <c r="E47" s="10">
        <v>27</v>
      </c>
      <c r="F47" s="12">
        <v>13.5</v>
      </c>
      <c r="G47" s="13" t="s">
        <v>156</v>
      </c>
      <c r="H47" s="14" t="s">
        <v>157</v>
      </c>
    </row>
    <row r="48" spans="1:8" ht="49.5" customHeight="1" x14ac:dyDescent="0.3">
      <c r="A48" s="10" t="s">
        <v>7</v>
      </c>
      <c r="B48" s="11" t="s">
        <v>154</v>
      </c>
      <c r="C48" s="10" t="s">
        <v>155</v>
      </c>
      <c r="D48" s="10">
        <v>2</v>
      </c>
      <c r="E48" s="10">
        <v>18</v>
      </c>
      <c r="F48" s="12">
        <v>9</v>
      </c>
      <c r="G48" s="13" t="s">
        <v>158</v>
      </c>
      <c r="H48" s="14" t="s">
        <v>159</v>
      </c>
    </row>
    <row r="49" spans="1:8" ht="49.5" customHeight="1" x14ac:dyDescent="0.3">
      <c r="A49" s="10" t="s">
        <v>7</v>
      </c>
      <c r="B49" s="11" t="s">
        <v>154</v>
      </c>
      <c r="C49" s="10" t="s">
        <v>155</v>
      </c>
      <c r="D49" s="10">
        <v>2</v>
      </c>
      <c r="E49" s="10">
        <v>15</v>
      </c>
      <c r="F49" s="12">
        <v>7.5</v>
      </c>
      <c r="G49" s="13" t="s">
        <v>160</v>
      </c>
      <c r="H49" s="14" t="s">
        <v>161</v>
      </c>
    </row>
    <row r="50" spans="1:8" ht="64.05" customHeight="1" x14ac:dyDescent="0.3">
      <c r="A50" s="10" t="s">
        <v>7</v>
      </c>
      <c r="B50" s="11" t="s">
        <v>162</v>
      </c>
      <c r="C50" s="10" t="s">
        <v>163</v>
      </c>
      <c r="D50" s="10">
        <v>4</v>
      </c>
      <c r="E50" s="10">
        <v>53</v>
      </c>
      <c r="F50" s="12">
        <v>13.2</v>
      </c>
      <c r="G50" s="13" t="s">
        <v>164</v>
      </c>
      <c r="H50" s="14" t="s">
        <v>165</v>
      </c>
    </row>
    <row r="51" spans="1:8" ht="64.05" customHeight="1" x14ac:dyDescent="0.3">
      <c r="A51" s="10" t="s">
        <v>7</v>
      </c>
      <c r="B51" s="11" t="s">
        <v>162</v>
      </c>
      <c r="C51" s="10" t="s">
        <v>163</v>
      </c>
      <c r="D51" s="10">
        <v>1</v>
      </c>
      <c r="E51" s="10">
        <v>4</v>
      </c>
      <c r="F51" s="12">
        <v>4</v>
      </c>
      <c r="G51" s="13" t="s">
        <v>166</v>
      </c>
      <c r="H51" s="14" t="s">
        <v>167</v>
      </c>
    </row>
    <row r="52" spans="1:8" ht="49.5" customHeight="1" x14ac:dyDescent="0.3">
      <c r="A52" s="10" t="s">
        <v>7</v>
      </c>
      <c r="B52" s="11" t="s">
        <v>168</v>
      </c>
      <c r="C52" s="10" t="s">
        <v>169</v>
      </c>
      <c r="D52" s="10">
        <v>1</v>
      </c>
      <c r="E52" s="10">
        <v>57</v>
      </c>
      <c r="F52" s="12">
        <v>57</v>
      </c>
      <c r="G52" s="13" t="s">
        <v>170</v>
      </c>
      <c r="H52" s="14" t="s">
        <v>171</v>
      </c>
    </row>
    <row r="53" spans="1:8" ht="64.05" customHeight="1" x14ac:dyDescent="0.3">
      <c r="A53" s="10" t="s">
        <v>7</v>
      </c>
      <c r="B53" s="11" t="s">
        <v>172</v>
      </c>
      <c r="C53" s="10" t="s">
        <v>173</v>
      </c>
      <c r="D53" s="10">
        <v>1</v>
      </c>
      <c r="E53" s="10">
        <v>52</v>
      </c>
      <c r="F53" s="12">
        <v>52</v>
      </c>
      <c r="G53" s="13" t="s">
        <v>174</v>
      </c>
      <c r="H53" s="14" t="s">
        <v>175</v>
      </c>
    </row>
    <row r="54" spans="1:8" ht="49.5" customHeight="1" x14ac:dyDescent="0.3">
      <c r="A54" s="10" t="s">
        <v>7</v>
      </c>
      <c r="B54" s="11" t="s">
        <v>176</v>
      </c>
      <c r="C54" s="10" t="s">
        <v>177</v>
      </c>
      <c r="D54" s="10">
        <v>1</v>
      </c>
      <c r="E54" s="10">
        <v>43</v>
      </c>
      <c r="F54" s="12">
        <v>43</v>
      </c>
      <c r="G54" s="13" t="s">
        <v>178</v>
      </c>
      <c r="H54" s="14" t="s">
        <v>179</v>
      </c>
    </row>
    <row r="55" spans="1:8" ht="49.5" customHeight="1" x14ac:dyDescent="0.3">
      <c r="A55" s="10" t="s">
        <v>7</v>
      </c>
      <c r="B55" s="11" t="s">
        <v>180</v>
      </c>
      <c r="C55" s="10" t="s">
        <v>181</v>
      </c>
      <c r="D55" s="10">
        <v>1</v>
      </c>
      <c r="E55" s="10">
        <v>20</v>
      </c>
      <c r="F55" s="12">
        <v>20</v>
      </c>
      <c r="G55" s="13" t="s">
        <v>182</v>
      </c>
      <c r="H55" s="14" t="s">
        <v>183</v>
      </c>
    </row>
    <row r="56" spans="1:8" ht="49.5" customHeight="1" x14ac:dyDescent="0.3">
      <c r="A56" s="10" t="s">
        <v>7</v>
      </c>
      <c r="B56" s="11" t="s">
        <v>180</v>
      </c>
      <c r="C56" s="10" t="s">
        <v>181</v>
      </c>
      <c r="D56" s="10">
        <v>1</v>
      </c>
      <c r="E56" s="10">
        <v>20</v>
      </c>
      <c r="F56" s="12">
        <v>20</v>
      </c>
      <c r="G56" s="13" t="s">
        <v>184</v>
      </c>
      <c r="H56" s="14" t="s">
        <v>185</v>
      </c>
    </row>
    <row r="57" spans="1:8" ht="49.5" customHeight="1" x14ac:dyDescent="0.3">
      <c r="A57" s="10" t="s">
        <v>7</v>
      </c>
      <c r="B57" s="11" t="s">
        <v>186</v>
      </c>
      <c r="C57" s="10" t="s">
        <v>187</v>
      </c>
      <c r="D57" s="10">
        <v>1</v>
      </c>
      <c r="E57" s="10">
        <v>20</v>
      </c>
      <c r="F57" s="12">
        <v>20</v>
      </c>
      <c r="G57" s="13" t="s">
        <v>188</v>
      </c>
      <c r="H57" s="14" t="s">
        <v>189</v>
      </c>
    </row>
    <row r="58" spans="1:8" ht="49.5" customHeight="1" x14ac:dyDescent="0.3">
      <c r="A58" s="10" t="s">
        <v>7</v>
      </c>
      <c r="B58" s="11" t="s">
        <v>186</v>
      </c>
      <c r="C58" s="10" t="s">
        <v>187</v>
      </c>
      <c r="D58" s="10">
        <v>1</v>
      </c>
      <c r="E58" s="10">
        <v>10</v>
      </c>
      <c r="F58" s="12">
        <v>10</v>
      </c>
      <c r="G58" s="13" t="s">
        <v>190</v>
      </c>
      <c r="H58" s="14" t="s">
        <v>191</v>
      </c>
    </row>
    <row r="59" spans="1:8" ht="64.05" customHeight="1" x14ac:dyDescent="0.3">
      <c r="A59" s="10" t="s">
        <v>7</v>
      </c>
      <c r="B59" s="11" t="s">
        <v>192</v>
      </c>
      <c r="C59" s="10" t="s">
        <v>193</v>
      </c>
      <c r="D59" s="10">
        <v>1</v>
      </c>
      <c r="E59" s="10">
        <v>30</v>
      </c>
      <c r="F59" s="12">
        <v>30</v>
      </c>
      <c r="G59" s="13" t="s">
        <v>194</v>
      </c>
      <c r="H59" s="14" t="s">
        <v>195</v>
      </c>
    </row>
    <row r="60" spans="1:8" ht="49.5" customHeight="1" x14ac:dyDescent="0.3">
      <c r="A60" s="10" t="s">
        <v>7</v>
      </c>
      <c r="B60" s="11" t="s">
        <v>196</v>
      </c>
      <c r="C60" s="10" t="s">
        <v>197</v>
      </c>
      <c r="D60" s="10">
        <v>1</v>
      </c>
      <c r="E60" s="10">
        <v>30</v>
      </c>
      <c r="F60" s="12">
        <v>30</v>
      </c>
      <c r="G60" s="13" t="s">
        <v>198</v>
      </c>
      <c r="H60" s="14" t="s">
        <v>171</v>
      </c>
    </row>
    <row r="61" spans="1:8" ht="49.5" customHeight="1" x14ac:dyDescent="0.3">
      <c r="A61" s="10" t="s">
        <v>7</v>
      </c>
      <c r="B61" s="11" t="s">
        <v>199</v>
      </c>
      <c r="C61" s="10" t="s">
        <v>200</v>
      </c>
      <c r="D61" s="10">
        <v>1</v>
      </c>
      <c r="E61" s="10">
        <v>10</v>
      </c>
      <c r="F61" s="12">
        <v>10</v>
      </c>
      <c r="G61" s="13" t="s">
        <v>201</v>
      </c>
      <c r="H61" s="14" t="s">
        <v>202</v>
      </c>
    </row>
    <row r="62" spans="1:8" ht="49.5" customHeight="1" x14ac:dyDescent="0.3">
      <c r="A62" s="10" t="s">
        <v>7</v>
      </c>
      <c r="B62" s="11" t="s">
        <v>199</v>
      </c>
      <c r="C62" s="10" t="s">
        <v>200</v>
      </c>
      <c r="D62" s="10">
        <v>1</v>
      </c>
      <c r="E62" s="10">
        <v>6</v>
      </c>
      <c r="F62" s="12">
        <v>6</v>
      </c>
      <c r="G62" s="13" t="s">
        <v>203</v>
      </c>
      <c r="H62" s="14" t="s">
        <v>204</v>
      </c>
    </row>
    <row r="63" spans="1:8" ht="49.5" customHeight="1" x14ac:dyDescent="0.3">
      <c r="A63" s="10" t="s">
        <v>7</v>
      </c>
      <c r="B63" s="11" t="s">
        <v>205</v>
      </c>
      <c r="C63" s="10" t="s">
        <v>206</v>
      </c>
      <c r="D63" s="10">
        <v>1</v>
      </c>
      <c r="E63" s="10">
        <v>12</v>
      </c>
      <c r="F63" s="12">
        <v>12</v>
      </c>
      <c r="G63" s="13" t="s">
        <v>207</v>
      </c>
      <c r="H63" s="14" t="s">
        <v>208</v>
      </c>
    </row>
    <row r="64" spans="1:8" ht="49.5" customHeight="1" x14ac:dyDescent="0.3">
      <c r="A64" s="10" t="s">
        <v>7</v>
      </c>
      <c r="B64" s="11" t="s">
        <v>209</v>
      </c>
      <c r="C64" s="10" t="s">
        <v>210</v>
      </c>
      <c r="D64" s="10">
        <v>1</v>
      </c>
      <c r="E64" s="10">
        <v>11</v>
      </c>
      <c r="F64" s="12">
        <v>11</v>
      </c>
      <c r="G64" s="13" t="s">
        <v>211</v>
      </c>
      <c r="H64" s="14" t="s">
        <v>212</v>
      </c>
    </row>
    <row r="65" spans="1:8" ht="49.5" customHeight="1" x14ac:dyDescent="0.3">
      <c r="A65" s="10" t="s">
        <v>7</v>
      </c>
      <c r="B65" s="11" t="s">
        <v>213</v>
      </c>
      <c r="C65" s="10" t="s">
        <v>214</v>
      </c>
      <c r="D65" s="10">
        <v>1</v>
      </c>
      <c r="E65" s="10">
        <v>6</v>
      </c>
      <c r="F65" s="12">
        <v>6</v>
      </c>
      <c r="G65" s="13" t="s">
        <v>215</v>
      </c>
      <c r="H65" s="14" t="s">
        <v>216</v>
      </c>
    </row>
    <row r="66" spans="1:8" ht="78.45" customHeight="1" x14ac:dyDescent="0.3">
      <c r="A66" s="15" t="s">
        <v>9</v>
      </c>
      <c r="B66" s="16" t="s">
        <v>20</v>
      </c>
      <c r="C66" s="15" t="s">
        <v>217</v>
      </c>
      <c r="D66" s="15">
        <v>31</v>
      </c>
      <c r="E66" s="15">
        <v>803</v>
      </c>
      <c r="F66" s="17">
        <v>25.9</v>
      </c>
      <c r="G66" s="13" t="s">
        <v>35</v>
      </c>
      <c r="H66" s="14" t="s">
        <v>135</v>
      </c>
    </row>
    <row r="67" spans="1:8" ht="78.45" customHeight="1" x14ac:dyDescent="0.3">
      <c r="A67" s="15" t="s">
        <v>9</v>
      </c>
      <c r="B67" s="16" t="s">
        <v>20</v>
      </c>
      <c r="C67" s="15" t="s">
        <v>217</v>
      </c>
      <c r="D67" s="15">
        <v>11</v>
      </c>
      <c r="E67" s="15">
        <v>744</v>
      </c>
      <c r="F67" s="17">
        <v>67.599999999999994</v>
      </c>
      <c r="G67" s="13" t="s">
        <v>218</v>
      </c>
      <c r="H67" s="14" t="s">
        <v>219</v>
      </c>
    </row>
    <row r="68" spans="1:8" ht="64.05" customHeight="1" x14ac:dyDescent="0.3">
      <c r="A68" s="15" t="s">
        <v>9</v>
      </c>
      <c r="B68" s="16" t="s">
        <v>20</v>
      </c>
      <c r="C68" s="15" t="s">
        <v>217</v>
      </c>
      <c r="D68" s="15">
        <v>2</v>
      </c>
      <c r="E68" s="15">
        <v>104</v>
      </c>
      <c r="F68" s="17">
        <v>52</v>
      </c>
      <c r="G68" s="13" t="s">
        <v>220</v>
      </c>
      <c r="H68" s="14" t="s">
        <v>221</v>
      </c>
    </row>
    <row r="69" spans="1:8" ht="49.5" customHeight="1" x14ac:dyDescent="0.3">
      <c r="A69" s="15" t="s">
        <v>9</v>
      </c>
      <c r="B69" s="16" t="s">
        <v>20</v>
      </c>
      <c r="C69" s="15" t="s">
        <v>217</v>
      </c>
      <c r="D69" s="15">
        <v>4</v>
      </c>
      <c r="E69" s="15">
        <v>39</v>
      </c>
      <c r="F69" s="17">
        <v>9.8000000000000007</v>
      </c>
      <c r="G69" s="13" t="s">
        <v>222</v>
      </c>
      <c r="H69" s="14" t="s">
        <v>223</v>
      </c>
    </row>
    <row r="70" spans="1:8" ht="78.45" customHeight="1" x14ac:dyDescent="0.3">
      <c r="A70" s="15" t="s">
        <v>9</v>
      </c>
      <c r="B70" s="16" t="s">
        <v>21</v>
      </c>
      <c r="C70" s="15" t="s">
        <v>224</v>
      </c>
      <c r="D70" s="15">
        <v>16</v>
      </c>
      <c r="E70" s="15">
        <v>690</v>
      </c>
      <c r="F70" s="17">
        <v>43.1</v>
      </c>
      <c r="G70" s="13" t="s">
        <v>77</v>
      </c>
      <c r="H70" s="14" t="s">
        <v>78</v>
      </c>
    </row>
    <row r="71" spans="1:8" ht="78.45" customHeight="1" x14ac:dyDescent="0.3">
      <c r="A71" s="15" t="s">
        <v>9</v>
      </c>
      <c r="B71" s="16" t="s">
        <v>21</v>
      </c>
      <c r="C71" s="15" t="s">
        <v>224</v>
      </c>
      <c r="D71" s="15">
        <v>6</v>
      </c>
      <c r="E71" s="15">
        <v>474</v>
      </c>
      <c r="F71" s="17">
        <v>79</v>
      </c>
      <c r="G71" s="13" t="s">
        <v>87</v>
      </c>
      <c r="H71" s="14" t="s">
        <v>88</v>
      </c>
    </row>
    <row r="72" spans="1:8" ht="64.05" customHeight="1" x14ac:dyDescent="0.3">
      <c r="A72" s="15" t="s">
        <v>9</v>
      </c>
      <c r="B72" s="16" t="s">
        <v>21</v>
      </c>
      <c r="C72" s="15" t="s">
        <v>224</v>
      </c>
      <c r="D72" s="15">
        <v>4</v>
      </c>
      <c r="E72" s="15">
        <v>150</v>
      </c>
      <c r="F72" s="17">
        <v>37.5</v>
      </c>
      <c r="G72" s="13" t="s">
        <v>225</v>
      </c>
      <c r="H72" s="14" t="s">
        <v>226</v>
      </c>
    </row>
    <row r="73" spans="1:8" ht="49.5" customHeight="1" x14ac:dyDescent="0.3">
      <c r="A73" s="15" t="s">
        <v>9</v>
      </c>
      <c r="B73" s="16" t="s">
        <v>21</v>
      </c>
      <c r="C73" s="15" t="s">
        <v>224</v>
      </c>
      <c r="D73" s="15">
        <v>1</v>
      </c>
      <c r="E73" s="15">
        <v>40</v>
      </c>
      <c r="F73" s="17">
        <v>40</v>
      </c>
      <c r="G73" s="13" t="s">
        <v>81</v>
      </c>
      <c r="H73" s="14" t="s">
        <v>82</v>
      </c>
    </row>
    <row r="74" spans="1:8" ht="64.05" customHeight="1" x14ac:dyDescent="0.3">
      <c r="A74" s="15" t="s">
        <v>9</v>
      </c>
      <c r="B74" s="16" t="s">
        <v>23</v>
      </c>
      <c r="C74" s="15" t="s">
        <v>227</v>
      </c>
      <c r="D74" s="15">
        <v>16</v>
      </c>
      <c r="E74" s="15">
        <v>910</v>
      </c>
      <c r="F74" s="17">
        <v>56.9</v>
      </c>
      <c r="G74" s="13" t="s">
        <v>41</v>
      </c>
      <c r="H74" s="14" t="s">
        <v>108</v>
      </c>
    </row>
    <row r="75" spans="1:8" ht="64.05" customHeight="1" x14ac:dyDescent="0.3">
      <c r="A75" s="15" t="s">
        <v>9</v>
      </c>
      <c r="B75" s="16" t="s">
        <v>23</v>
      </c>
      <c r="C75" s="15" t="s">
        <v>227</v>
      </c>
      <c r="D75" s="15">
        <v>7</v>
      </c>
      <c r="E75" s="15">
        <v>204</v>
      </c>
      <c r="F75" s="17">
        <v>29.1</v>
      </c>
      <c r="G75" s="13" t="s">
        <v>43</v>
      </c>
      <c r="H75" s="14" t="s">
        <v>108</v>
      </c>
    </row>
    <row r="76" spans="1:8" ht="165.45" customHeight="1" x14ac:dyDescent="0.3">
      <c r="A76" s="15" t="s">
        <v>9</v>
      </c>
      <c r="B76" s="16" t="s">
        <v>28</v>
      </c>
      <c r="C76" s="15" t="s">
        <v>228</v>
      </c>
      <c r="D76" s="15">
        <v>32</v>
      </c>
      <c r="E76" s="15">
        <v>1002</v>
      </c>
      <c r="F76" s="17">
        <v>31.3</v>
      </c>
      <c r="G76" s="13" t="s">
        <v>39</v>
      </c>
      <c r="H76" s="14" t="s">
        <v>98</v>
      </c>
    </row>
    <row r="77" spans="1:8" ht="78.45" customHeight="1" x14ac:dyDescent="0.3">
      <c r="A77" s="15" t="s">
        <v>9</v>
      </c>
      <c r="B77" s="16" t="s">
        <v>25</v>
      </c>
      <c r="C77" s="15" t="s">
        <v>229</v>
      </c>
      <c r="D77" s="15">
        <v>25</v>
      </c>
      <c r="E77" s="15">
        <v>796</v>
      </c>
      <c r="F77" s="17">
        <v>31.8</v>
      </c>
      <c r="G77" s="13" t="s">
        <v>50</v>
      </c>
      <c r="H77" s="14" t="s">
        <v>90</v>
      </c>
    </row>
    <row r="78" spans="1:8" ht="93" customHeight="1" x14ac:dyDescent="0.3">
      <c r="A78" s="15" t="s">
        <v>9</v>
      </c>
      <c r="B78" s="16" t="s">
        <v>25</v>
      </c>
      <c r="C78" s="15" t="s">
        <v>229</v>
      </c>
      <c r="D78" s="15">
        <v>5</v>
      </c>
      <c r="E78" s="15">
        <v>93</v>
      </c>
      <c r="F78" s="17">
        <v>18.600000000000001</v>
      </c>
      <c r="G78" s="13" t="s">
        <v>93</v>
      </c>
      <c r="H78" s="14" t="s">
        <v>94</v>
      </c>
    </row>
    <row r="79" spans="1:8" ht="64.05" customHeight="1" x14ac:dyDescent="0.3">
      <c r="A79" s="15" t="s">
        <v>9</v>
      </c>
      <c r="B79" s="16" t="s">
        <v>25</v>
      </c>
      <c r="C79" s="15" t="s">
        <v>229</v>
      </c>
      <c r="D79" s="15">
        <v>3</v>
      </c>
      <c r="E79" s="15">
        <v>42</v>
      </c>
      <c r="F79" s="17">
        <v>14</v>
      </c>
      <c r="G79" s="13" t="s">
        <v>230</v>
      </c>
      <c r="H79" s="14" t="s">
        <v>231</v>
      </c>
    </row>
    <row r="80" spans="1:8" ht="64.05" customHeight="1" x14ac:dyDescent="0.3">
      <c r="A80" s="15" t="s">
        <v>9</v>
      </c>
      <c r="B80" s="16" t="s">
        <v>25</v>
      </c>
      <c r="C80" s="15" t="s">
        <v>229</v>
      </c>
      <c r="D80" s="15">
        <v>1</v>
      </c>
      <c r="E80" s="15">
        <v>17</v>
      </c>
      <c r="F80" s="17">
        <v>17</v>
      </c>
      <c r="G80" s="13" t="s">
        <v>232</v>
      </c>
      <c r="H80" s="14" t="s">
        <v>233</v>
      </c>
    </row>
    <row r="81" spans="1:8" ht="49.5" customHeight="1" x14ac:dyDescent="0.3">
      <c r="A81" s="15" t="s">
        <v>9</v>
      </c>
      <c r="B81" s="16" t="s">
        <v>25</v>
      </c>
      <c r="C81" s="15" t="s">
        <v>229</v>
      </c>
      <c r="D81" s="15">
        <v>1</v>
      </c>
      <c r="E81" s="15">
        <v>12</v>
      </c>
      <c r="F81" s="17">
        <v>12</v>
      </c>
      <c r="G81" s="13" t="s">
        <v>234</v>
      </c>
      <c r="H81" s="14" t="s">
        <v>235</v>
      </c>
    </row>
    <row r="82" spans="1:8" ht="49.5" customHeight="1" x14ac:dyDescent="0.3">
      <c r="A82" s="15" t="s">
        <v>9</v>
      </c>
      <c r="B82" s="16" t="s">
        <v>25</v>
      </c>
      <c r="C82" s="15" t="s">
        <v>229</v>
      </c>
      <c r="D82" s="15">
        <v>1</v>
      </c>
      <c r="E82" s="15">
        <v>10</v>
      </c>
      <c r="F82" s="17">
        <v>10</v>
      </c>
      <c r="G82" s="13" t="s">
        <v>236</v>
      </c>
      <c r="H82" s="14" t="s">
        <v>237</v>
      </c>
    </row>
    <row r="83" spans="1:8" ht="64.05" customHeight="1" x14ac:dyDescent="0.3">
      <c r="A83" s="15" t="s">
        <v>9</v>
      </c>
      <c r="B83" s="16" t="s">
        <v>19</v>
      </c>
      <c r="C83" s="15" t="s">
        <v>238</v>
      </c>
      <c r="D83" s="15">
        <v>7</v>
      </c>
      <c r="E83" s="15">
        <v>312</v>
      </c>
      <c r="F83" s="17">
        <v>44.6</v>
      </c>
      <c r="G83" s="13" t="s">
        <v>37</v>
      </c>
      <c r="H83" s="14" t="s">
        <v>57</v>
      </c>
    </row>
    <row r="84" spans="1:8" ht="49.5" customHeight="1" x14ac:dyDescent="0.3">
      <c r="A84" s="15" t="s">
        <v>9</v>
      </c>
      <c r="B84" s="16" t="s">
        <v>19</v>
      </c>
      <c r="C84" s="15" t="s">
        <v>238</v>
      </c>
      <c r="D84" s="15">
        <v>5</v>
      </c>
      <c r="E84" s="15">
        <v>218</v>
      </c>
      <c r="F84" s="17">
        <v>43.6</v>
      </c>
      <c r="G84" s="13" t="s">
        <v>239</v>
      </c>
      <c r="H84" s="14" t="s">
        <v>240</v>
      </c>
    </row>
    <row r="85" spans="1:8" ht="64.05" customHeight="1" x14ac:dyDescent="0.3">
      <c r="A85" s="15" t="s">
        <v>9</v>
      </c>
      <c r="B85" s="16" t="s">
        <v>19</v>
      </c>
      <c r="C85" s="15" t="s">
        <v>238</v>
      </c>
      <c r="D85" s="15">
        <v>4</v>
      </c>
      <c r="E85" s="15">
        <v>144</v>
      </c>
      <c r="F85" s="17">
        <v>36</v>
      </c>
      <c r="G85" s="13" t="s">
        <v>60</v>
      </c>
      <c r="H85" s="14" t="s">
        <v>61</v>
      </c>
    </row>
    <row r="86" spans="1:8" ht="64.05" customHeight="1" x14ac:dyDescent="0.3">
      <c r="A86" s="15" t="s">
        <v>9</v>
      </c>
      <c r="B86" s="16" t="s">
        <v>19</v>
      </c>
      <c r="C86" s="15" t="s">
        <v>238</v>
      </c>
      <c r="D86" s="15">
        <v>4</v>
      </c>
      <c r="E86" s="15">
        <v>94</v>
      </c>
      <c r="F86" s="17">
        <v>23.5</v>
      </c>
      <c r="G86" s="13" t="s">
        <v>66</v>
      </c>
      <c r="H86" s="14" t="s">
        <v>67</v>
      </c>
    </row>
    <row r="87" spans="1:8" ht="49.5" customHeight="1" x14ac:dyDescent="0.3">
      <c r="A87" s="15" t="s">
        <v>9</v>
      </c>
      <c r="B87" s="16" t="s">
        <v>19</v>
      </c>
      <c r="C87" s="15" t="s">
        <v>238</v>
      </c>
      <c r="D87" s="15">
        <v>3</v>
      </c>
      <c r="E87" s="15">
        <v>80</v>
      </c>
      <c r="F87" s="17">
        <v>26.7</v>
      </c>
      <c r="G87" s="13" t="s">
        <v>241</v>
      </c>
      <c r="H87" s="14" t="s">
        <v>242</v>
      </c>
    </row>
    <row r="88" spans="1:8" ht="78.45" customHeight="1" x14ac:dyDescent="0.3">
      <c r="A88" s="15" t="s">
        <v>9</v>
      </c>
      <c r="B88" s="16" t="s">
        <v>19</v>
      </c>
      <c r="C88" s="15" t="s">
        <v>238</v>
      </c>
      <c r="D88" s="15">
        <v>1</v>
      </c>
      <c r="E88" s="15">
        <v>55</v>
      </c>
      <c r="F88" s="17">
        <v>55</v>
      </c>
      <c r="G88" s="13" t="s">
        <v>62</v>
      </c>
      <c r="H88" s="14" t="s">
        <v>63</v>
      </c>
    </row>
    <row r="89" spans="1:8" ht="78.45" customHeight="1" x14ac:dyDescent="0.3">
      <c r="A89" s="15" t="s">
        <v>9</v>
      </c>
      <c r="B89" s="16" t="s">
        <v>116</v>
      </c>
      <c r="C89" s="15" t="s">
        <v>243</v>
      </c>
      <c r="D89" s="15">
        <v>8</v>
      </c>
      <c r="E89" s="15">
        <v>468</v>
      </c>
      <c r="F89" s="17">
        <v>58.5</v>
      </c>
      <c r="G89" s="13" t="s">
        <v>118</v>
      </c>
      <c r="H89" s="14" t="s">
        <v>119</v>
      </c>
    </row>
    <row r="90" spans="1:8" ht="64.05" customHeight="1" x14ac:dyDescent="0.3">
      <c r="A90" s="15" t="s">
        <v>9</v>
      </c>
      <c r="B90" s="16" t="s">
        <v>26</v>
      </c>
      <c r="C90" s="15" t="s">
        <v>244</v>
      </c>
      <c r="D90" s="15">
        <v>4</v>
      </c>
      <c r="E90" s="15">
        <v>173</v>
      </c>
      <c r="F90" s="17">
        <v>43.2</v>
      </c>
      <c r="G90" s="13" t="s">
        <v>112</v>
      </c>
      <c r="H90" s="14" t="s">
        <v>113</v>
      </c>
    </row>
    <row r="91" spans="1:8" ht="64.05" customHeight="1" x14ac:dyDescent="0.3">
      <c r="A91" s="15" t="s">
        <v>9</v>
      </c>
      <c r="B91" s="16" t="s">
        <v>26</v>
      </c>
      <c r="C91" s="15" t="s">
        <v>244</v>
      </c>
      <c r="D91" s="15">
        <v>7</v>
      </c>
      <c r="E91" s="15">
        <v>144</v>
      </c>
      <c r="F91" s="17">
        <v>20.6</v>
      </c>
      <c r="G91" s="13" t="s">
        <v>114</v>
      </c>
      <c r="H91" s="14" t="s">
        <v>115</v>
      </c>
    </row>
    <row r="92" spans="1:8" ht="64.05" customHeight="1" x14ac:dyDescent="0.3">
      <c r="A92" s="15" t="s">
        <v>9</v>
      </c>
      <c r="B92" s="16" t="s">
        <v>26</v>
      </c>
      <c r="C92" s="15" t="s">
        <v>244</v>
      </c>
      <c r="D92" s="15">
        <v>4</v>
      </c>
      <c r="E92" s="15">
        <v>105</v>
      </c>
      <c r="F92" s="17">
        <v>26.2</v>
      </c>
      <c r="G92" s="13" t="s">
        <v>110</v>
      </c>
      <c r="H92" s="14" t="s">
        <v>111</v>
      </c>
    </row>
    <row r="93" spans="1:8" ht="78.45" customHeight="1" x14ac:dyDescent="0.3">
      <c r="A93" s="15" t="s">
        <v>9</v>
      </c>
      <c r="B93" s="16" t="s">
        <v>27</v>
      </c>
      <c r="C93" s="15" t="s">
        <v>245</v>
      </c>
      <c r="D93" s="15">
        <v>12</v>
      </c>
      <c r="E93" s="15">
        <v>375</v>
      </c>
      <c r="F93" s="17">
        <v>31.2</v>
      </c>
      <c r="G93" s="13" t="s">
        <v>47</v>
      </c>
      <c r="H93" s="14" t="s">
        <v>75</v>
      </c>
    </row>
    <row r="94" spans="1:8" ht="64.05" customHeight="1" x14ac:dyDescent="0.3">
      <c r="A94" s="15" t="s">
        <v>9</v>
      </c>
      <c r="B94" s="16" t="s">
        <v>99</v>
      </c>
      <c r="C94" s="15" t="s">
        <v>246</v>
      </c>
      <c r="D94" s="15">
        <v>4</v>
      </c>
      <c r="E94" s="15">
        <v>272</v>
      </c>
      <c r="F94" s="17">
        <v>68</v>
      </c>
      <c r="G94" s="13" t="s">
        <v>101</v>
      </c>
      <c r="H94" s="14" t="s">
        <v>102</v>
      </c>
    </row>
    <row r="95" spans="1:8" ht="49.5" customHeight="1" x14ac:dyDescent="0.3">
      <c r="A95" s="15" t="s">
        <v>9</v>
      </c>
      <c r="B95" s="16" t="s">
        <v>99</v>
      </c>
      <c r="C95" s="15" t="s">
        <v>246</v>
      </c>
      <c r="D95" s="15">
        <v>1</v>
      </c>
      <c r="E95" s="15">
        <v>30</v>
      </c>
      <c r="F95" s="17">
        <v>30</v>
      </c>
      <c r="G95" s="13" t="s">
        <v>105</v>
      </c>
      <c r="H95" s="14" t="s">
        <v>106</v>
      </c>
    </row>
    <row r="96" spans="1:8" ht="121.95" customHeight="1" x14ac:dyDescent="0.3">
      <c r="A96" s="15" t="s">
        <v>9</v>
      </c>
      <c r="B96" s="16" t="s">
        <v>24</v>
      </c>
      <c r="C96" s="15" t="s">
        <v>228</v>
      </c>
      <c r="D96" s="15">
        <v>18</v>
      </c>
      <c r="E96" s="15">
        <v>288</v>
      </c>
      <c r="F96" s="17">
        <v>16</v>
      </c>
      <c r="G96" s="13" t="s">
        <v>45</v>
      </c>
      <c r="H96" s="14" t="s">
        <v>69</v>
      </c>
    </row>
    <row r="97" spans="1:8" ht="49.5" customHeight="1" x14ac:dyDescent="0.3">
      <c r="A97" s="15" t="s">
        <v>9</v>
      </c>
      <c r="B97" s="16" t="s">
        <v>24</v>
      </c>
      <c r="C97" s="15" t="s">
        <v>228</v>
      </c>
      <c r="D97" s="15">
        <v>1</v>
      </c>
      <c r="E97" s="15">
        <v>9</v>
      </c>
      <c r="F97" s="17">
        <v>9</v>
      </c>
      <c r="G97" s="13" t="s">
        <v>247</v>
      </c>
      <c r="H97" s="14" t="s">
        <v>248</v>
      </c>
    </row>
    <row r="98" spans="1:8" ht="49.5" customHeight="1" x14ac:dyDescent="0.3">
      <c r="A98" s="15" t="s">
        <v>9</v>
      </c>
      <c r="B98" s="16" t="s">
        <v>162</v>
      </c>
      <c r="C98" s="15" t="s">
        <v>249</v>
      </c>
      <c r="D98" s="15">
        <v>8</v>
      </c>
      <c r="E98" s="15">
        <v>168</v>
      </c>
      <c r="F98" s="17">
        <v>21</v>
      </c>
      <c r="G98" s="13" t="s">
        <v>250</v>
      </c>
      <c r="H98" s="14" t="s">
        <v>251</v>
      </c>
    </row>
    <row r="99" spans="1:8" ht="64.05" customHeight="1" x14ac:dyDescent="0.3">
      <c r="A99" s="15" t="s">
        <v>9</v>
      </c>
      <c r="B99" s="16" t="s">
        <v>162</v>
      </c>
      <c r="C99" s="15" t="s">
        <v>249</v>
      </c>
      <c r="D99" s="15">
        <v>5</v>
      </c>
      <c r="E99" s="15">
        <v>98</v>
      </c>
      <c r="F99" s="17">
        <v>19.600000000000001</v>
      </c>
      <c r="G99" s="13" t="s">
        <v>164</v>
      </c>
      <c r="H99" s="14" t="s">
        <v>165</v>
      </c>
    </row>
    <row r="100" spans="1:8" ht="49.5" customHeight="1" x14ac:dyDescent="0.3">
      <c r="A100" s="15" t="s">
        <v>9</v>
      </c>
      <c r="B100" s="16" t="s">
        <v>162</v>
      </c>
      <c r="C100" s="15" t="s">
        <v>249</v>
      </c>
      <c r="D100" s="15">
        <v>1</v>
      </c>
      <c r="E100" s="15">
        <v>12</v>
      </c>
      <c r="F100" s="17">
        <v>12</v>
      </c>
      <c r="G100" s="13" t="s">
        <v>252</v>
      </c>
      <c r="H100" s="14" t="s">
        <v>253</v>
      </c>
    </row>
    <row r="101" spans="1:8" ht="64.05" customHeight="1" x14ac:dyDescent="0.3">
      <c r="A101" s="15" t="s">
        <v>9</v>
      </c>
      <c r="B101" s="16" t="s">
        <v>154</v>
      </c>
      <c r="C101" s="15" t="s">
        <v>254</v>
      </c>
      <c r="D101" s="15">
        <v>11</v>
      </c>
      <c r="E101" s="15">
        <v>196</v>
      </c>
      <c r="F101" s="17">
        <v>17.8</v>
      </c>
      <c r="G101" s="13" t="s">
        <v>156</v>
      </c>
      <c r="H101" s="14" t="s">
        <v>157</v>
      </c>
    </row>
    <row r="102" spans="1:8" ht="49.5" customHeight="1" x14ac:dyDescent="0.3">
      <c r="A102" s="15" t="s">
        <v>9</v>
      </c>
      <c r="B102" s="16" t="s">
        <v>154</v>
      </c>
      <c r="C102" s="15" t="s">
        <v>254</v>
      </c>
      <c r="D102" s="15">
        <v>2</v>
      </c>
      <c r="E102" s="15">
        <v>28</v>
      </c>
      <c r="F102" s="17">
        <v>14</v>
      </c>
      <c r="G102" s="13" t="s">
        <v>158</v>
      </c>
      <c r="H102" s="14" t="s">
        <v>159</v>
      </c>
    </row>
    <row r="103" spans="1:8" ht="49.5" customHeight="1" x14ac:dyDescent="0.3">
      <c r="A103" s="15" t="s">
        <v>9</v>
      </c>
      <c r="B103" s="16" t="s">
        <v>154</v>
      </c>
      <c r="C103" s="15" t="s">
        <v>254</v>
      </c>
      <c r="D103" s="15">
        <v>1</v>
      </c>
      <c r="E103" s="15">
        <v>10</v>
      </c>
      <c r="F103" s="17">
        <v>10</v>
      </c>
      <c r="G103" s="13" t="s">
        <v>255</v>
      </c>
      <c r="H103" s="14" t="s">
        <v>256</v>
      </c>
    </row>
    <row r="104" spans="1:8" ht="64.05" customHeight="1" x14ac:dyDescent="0.3">
      <c r="A104" s="15" t="s">
        <v>9</v>
      </c>
      <c r="B104" s="16" t="s">
        <v>192</v>
      </c>
      <c r="C104" s="15" t="s">
        <v>257</v>
      </c>
      <c r="D104" s="15">
        <v>9</v>
      </c>
      <c r="E104" s="15">
        <v>186</v>
      </c>
      <c r="F104" s="17">
        <v>20.7</v>
      </c>
      <c r="G104" s="13" t="s">
        <v>194</v>
      </c>
      <c r="H104" s="14" t="s">
        <v>195</v>
      </c>
    </row>
    <row r="105" spans="1:8" ht="49.5" customHeight="1" x14ac:dyDescent="0.3">
      <c r="A105" s="15" t="s">
        <v>9</v>
      </c>
      <c r="B105" s="16" t="s">
        <v>192</v>
      </c>
      <c r="C105" s="15" t="s">
        <v>257</v>
      </c>
      <c r="D105" s="15">
        <v>1</v>
      </c>
      <c r="E105" s="15">
        <v>20</v>
      </c>
      <c r="F105" s="17">
        <v>20</v>
      </c>
      <c r="G105" s="13" t="s">
        <v>258</v>
      </c>
      <c r="H105" s="14" t="s">
        <v>259</v>
      </c>
    </row>
    <row r="106" spans="1:8" ht="78.45" customHeight="1" x14ac:dyDescent="0.3">
      <c r="A106" s="15" t="s">
        <v>9</v>
      </c>
      <c r="B106" s="16" t="s">
        <v>138</v>
      </c>
      <c r="C106" s="15" t="s">
        <v>260</v>
      </c>
      <c r="D106" s="15">
        <v>6</v>
      </c>
      <c r="E106" s="15">
        <v>178</v>
      </c>
      <c r="F106" s="17">
        <v>29.7</v>
      </c>
      <c r="G106" s="13" t="s">
        <v>140</v>
      </c>
      <c r="H106" s="14" t="s">
        <v>141</v>
      </c>
    </row>
    <row r="107" spans="1:8" ht="64.05" customHeight="1" x14ac:dyDescent="0.3">
      <c r="A107" s="15" t="s">
        <v>9</v>
      </c>
      <c r="B107" s="16" t="s">
        <v>138</v>
      </c>
      <c r="C107" s="15" t="s">
        <v>260</v>
      </c>
      <c r="D107" s="15">
        <v>1</v>
      </c>
      <c r="E107" s="15">
        <v>11</v>
      </c>
      <c r="F107" s="17">
        <v>11</v>
      </c>
      <c r="G107" s="13" t="s">
        <v>261</v>
      </c>
      <c r="H107" s="14" t="s">
        <v>262</v>
      </c>
    </row>
    <row r="108" spans="1:8" ht="64.05" customHeight="1" x14ac:dyDescent="0.3">
      <c r="A108" s="15" t="s">
        <v>9</v>
      </c>
      <c r="B108" s="16" t="s">
        <v>144</v>
      </c>
      <c r="C108" s="15" t="s">
        <v>263</v>
      </c>
      <c r="D108" s="15">
        <v>12</v>
      </c>
      <c r="E108" s="15">
        <v>169</v>
      </c>
      <c r="F108" s="17">
        <v>14.1</v>
      </c>
      <c r="G108" s="13" t="s">
        <v>146</v>
      </c>
      <c r="H108" s="14" t="s">
        <v>147</v>
      </c>
    </row>
    <row r="109" spans="1:8" ht="165.45" customHeight="1" x14ac:dyDescent="0.3">
      <c r="A109" s="15" t="s">
        <v>9</v>
      </c>
      <c r="B109" s="16" t="s">
        <v>95</v>
      </c>
      <c r="C109" s="15" t="s">
        <v>228</v>
      </c>
      <c r="D109" s="15">
        <v>6</v>
      </c>
      <c r="E109" s="15">
        <v>122</v>
      </c>
      <c r="F109" s="17">
        <v>20.3</v>
      </c>
      <c r="G109" s="13" t="s">
        <v>97</v>
      </c>
      <c r="H109" s="14" t="s">
        <v>98</v>
      </c>
    </row>
    <row r="110" spans="1:8" ht="49.5" customHeight="1" x14ac:dyDescent="0.3">
      <c r="A110" s="15" t="s">
        <v>9</v>
      </c>
      <c r="B110" s="16" t="s">
        <v>148</v>
      </c>
      <c r="C110" s="15" t="s">
        <v>264</v>
      </c>
      <c r="D110" s="15">
        <v>2</v>
      </c>
      <c r="E110" s="15">
        <v>77</v>
      </c>
      <c r="F110" s="17">
        <v>38.5</v>
      </c>
      <c r="G110" s="13" t="s">
        <v>265</v>
      </c>
      <c r="H110" s="14" t="s">
        <v>266</v>
      </c>
    </row>
    <row r="111" spans="1:8" ht="64.05" customHeight="1" x14ac:dyDescent="0.3">
      <c r="A111" s="15" t="s">
        <v>9</v>
      </c>
      <c r="B111" s="16" t="s">
        <v>267</v>
      </c>
      <c r="C111" s="15" t="s">
        <v>268</v>
      </c>
      <c r="D111" s="15">
        <v>2</v>
      </c>
      <c r="E111" s="15">
        <v>67</v>
      </c>
      <c r="F111" s="17">
        <v>33.5</v>
      </c>
      <c r="G111" s="13" t="s">
        <v>269</v>
      </c>
      <c r="H111" s="14" t="s">
        <v>270</v>
      </c>
    </row>
    <row r="112" spans="1:8" ht="49.5" customHeight="1" x14ac:dyDescent="0.3">
      <c r="A112" s="15" t="s">
        <v>9</v>
      </c>
      <c r="B112" s="16" t="s">
        <v>180</v>
      </c>
      <c r="C112" s="15" t="s">
        <v>271</v>
      </c>
      <c r="D112" s="15">
        <v>2</v>
      </c>
      <c r="E112" s="15">
        <v>60</v>
      </c>
      <c r="F112" s="17">
        <v>30</v>
      </c>
      <c r="G112" s="13" t="s">
        <v>272</v>
      </c>
      <c r="H112" s="14" t="s">
        <v>273</v>
      </c>
    </row>
    <row r="113" spans="1:8" ht="49.5" customHeight="1" x14ac:dyDescent="0.3">
      <c r="A113" s="15" t="s">
        <v>9</v>
      </c>
      <c r="B113" s="16" t="s">
        <v>205</v>
      </c>
      <c r="C113" s="15" t="s">
        <v>274</v>
      </c>
      <c r="D113" s="15">
        <v>1</v>
      </c>
      <c r="E113" s="15">
        <v>50</v>
      </c>
      <c r="F113" s="17">
        <v>50</v>
      </c>
      <c r="G113" s="13" t="s">
        <v>275</v>
      </c>
      <c r="H113" s="14" t="s">
        <v>276</v>
      </c>
    </row>
    <row r="114" spans="1:8" ht="78.45" customHeight="1" x14ac:dyDescent="0.3">
      <c r="A114" s="15" t="s">
        <v>9</v>
      </c>
      <c r="B114" s="16" t="s">
        <v>205</v>
      </c>
      <c r="C114" s="15" t="s">
        <v>274</v>
      </c>
      <c r="D114" s="15">
        <v>2</v>
      </c>
      <c r="E114" s="15">
        <v>8</v>
      </c>
      <c r="F114" s="17">
        <v>4</v>
      </c>
      <c r="G114" s="13" t="s">
        <v>277</v>
      </c>
      <c r="H114" s="14" t="s">
        <v>278</v>
      </c>
    </row>
    <row r="115" spans="1:8" ht="78.45" customHeight="1" x14ac:dyDescent="0.3">
      <c r="A115" s="15" t="s">
        <v>9</v>
      </c>
      <c r="B115" s="16" t="s">
        <v>22</v>
      </c>
      <c r="C115" s="15" t="s">
        <v>279</v>
      </c>
      <c r="D115" s="15">
        <v>1</v>
      </c>
      <c r="E115" s="15">
        <v>45</v>
      </c>
      <c r="F115" s="17">
        <v>45</v>
      </c>
      <c r="G115" s="13" t="s">
        <v>280</v>
      </c>
      <c r="H115" s="14" t="s">
        <v>281</v>
      </c>
    </row>
    <row r="116" spans="1:8" ht="107.55" customHeight="1" x14ac:dyDescent="0.3">
      <c r="A116" s="15" t="s">
        <v>9</v>
      </c>
      <c r="B116" s="16" t="s">
        <v>22</v>
      </c>
      <c r="C116" s="15" t="s">
        <v>279</v>
      </c>
      <c r="D116" s="15">
        <v>1</v>
      </c>
      <c r="E116" s="15">
        <v>8</v>
      </c>
      <c r="F116" s="17">
        <v>8</v>
      </c>
      <c r="G116" s="13" t="s">
        <v>33</v>
      </c>
      <c r="H116" s="14" t="s">
        <v>282</v>
      </c>
    </row>
    <row r="117" spans="1:8" ht="64.05" customHeight="1" x14ac:dyDescent="0.3">
      <c r="A117" s="15" t="s">
        <v>9</v>
      </c>
      <c r="B117" s="16" t="s">
        <v>283</v>
      </c>
      <c r="C117" s="15" t="s">
        <v>284</v>
      </c>
      <c r="D117" s="15">
        <v>3</v>
      </c>
      <c r="E117" s="15">
        <v>39</v>
      </c>
      <c r="F117" s="17">
        <v>13</v>
      </c>
      <c r="G117" s="13" t="s">
        <v>285</v>
      </c>
      <c r="H117" s="14" t="s">
        <v>286</v>
      </c>
    </row>
    <row r="118" spans="1:8" ht="49.5" customHeight="1" x14ac:dyDescent="0.3">
      <c r="A118" s="15" t="s">
        <v>9</v>
      </c>
      <c r="B118" s="16" t="s">
        <v>209</v>
      </c>
      <c r="C118" s="15" t="s">
        <v>287</v>
      </c>
      <c r="D118" s="15">
        <v>1</v>
      </c>
      <c r="E118" s="15">
        <v>35</v>
      </c>
      <c r="F118" s="17">
        <v>35</v>
      </c>
      <c r="G118" s="13" t="s">
        <v>211</v>
      </c>
      <c r="H118" s="14" t="s">
        <v>212</v>
      </c>
    </row>
    <row r="119" spans="1:8" ht="49.5" customHeight="1" x14ac:dyDescent="0.3">
      <c r="A119" s="15" t="s">
        <v>9</v>
      </c>
      <c r="B119" s="16" t="s">
        <v>186</v>
      </c>
      <c r="C119" s="15" t="s">
        <v>288</v>
      </c>
      <c r="D119" s="15">
        <v>1</v>
      </c>
      <c r="E119" s="15">
        <v>20</v>
      </c>
      <c r="F119" s="17">
        <v>20</v>
      </c>
      <c r="G119" s="13" t="s">
        <v>188</v>
      </c>
      <c r="H119" s="14" t="s">
        <v>189</v>
      </c>
    </row>
    <row r="120" spans="1:8" ht="49.5" customHeight="1" x14ac:dyDescent="0.3">
      <c r="A120" s="15" t="s">
        <v>9</v>
      </c>
      <c r="B120" s="16" t="s">
        <v>289</v>
      </c>
      <c r="C120" s="15" t="s">
        <v>290</v>
      </c>
      <c r="D120" s="15">
        <v>1</v>
      </c>
      <c r="E120" s="15">
        <v>4</v>
      </c>
      <c r="F120" s="17">
        <v>4</v>
      </c>
      <c r="G120" s="13" t="s">
        <v>291</v>
      </c>
      <c r="H120" s="14" t="s">
        <v>292</v>
      </c>
    </row>
    <row r="121" spans="1:8" ht="107.55" customHeight="1" x14ac:dyDescent="0.3">
      <c r="A121" s="18" t="s">
        <v>11</v>
      </c>
      <c r="B121" s="19" t="s">
        <v>22</v>
      </c>
      <c r="C121" s="18" t="s">
        <v>293</v>
      </c>
      <c r="D121" s="18">
        <v>27</v>
      </c>
      <c r="E121" s="18">
        <v>2061</v>
      </c>
      <c r="F121" s="20">
        <v>76.3</v>
      </c>
      <c r="G121" s="13" t="s">
        <v>33</v>
      </c>
      <c r="H121" s="14" t="s">
        <v>282</v>
      </c>
    </row>
    <row r="122" spans="1:8" ht="78.45" customHeight="1" x14ac:dyDescent="0.3">
      <c r="A122" s="18" t="s">
        <v>11</v>
      </c>
      <c r="B122" s="19" t="s">
        <v>22</v>
      </c>
      <c r="C122" s="18" t="s">
        <v>293</v>
      </c>
      <c r="D122" s="18">
        <v>2</v>
      </c>
      <c r="E122" s="18">
        <v>200</v>
      </c>
      <c r="F122" s="20">
        <v>100</v>
      </c>
      <c r="G122" s="13" t="s">
        <v>280</v>
      </c>
      <c r="H122" s="14" t="s">
        <v>281</v>
      </c>
    </row>
    <row r="123" spans="1:8" ht="107.55" customHeight="1" x14ac:dyDescent="0.3">
      <c r="A123" s="18" t="s">
        <v>11</v>
      </c>
      <c r="B123" s="19" t="s">
        <v>22</v>
      </c>
      <c r="C123" s="18" t="s">
        <v>293</v>
      </c>
      <c r="D123" s="18">
        <v>2</v>
      </c>
      <c r="E123" s="18">
        <v>35</v>
      </c>
      <c r="F123" s="20">
        <v>17.5</v>
      </c>
      <c r="G123" s="13" t="s">
        <v>124</v>
      </c>
      <c r="H123" s="14" t="s">
        <v>125</v>
      </c>
    </row>
    <row r="124" spans="1:8" ht="78.45" customHeight="1" x14ac:dyDescent="0.3">
      <c r="A124" s="18" t="s">
        <v>11</v>
      </c>
      <c r="B124" s="19" t="s">
        <v>20</v>
      </c>
      <c r="C124" s="18" t="s">
        <v>294</v>
      </c>
      <c r="D124" s="18">
        <v>22</v>
      </c>
      <c r="E124" s="18">
        <v>1180</v>
      </c>
      <c r="F124" s="20">
        <v>53.6</v>
      </c>
      <c r="G124" s="13" t="s">
        <v>35</v>
      </c>
      <c r="H124" s="14" t="s">
        <v>135</v>
      </c>
    </row>
    <row r="125" spans="1:8" ht="78.45" customHeight="1" x14ac:dyDescent="0.3">
      <c r="A125" s="18" t="s">
        <v>11</v>
      </c>
      <c r="B125" s="19" t="s">
        <v>20</v>
      </c>
      <c r="C125" s="18" t="s">
        <v>294</v>
      </c>
      <c r="D125" s="18">
        <v>13</v>
      </c>
      <c r="E125" s="18">
        <v>212</v>
      </c>
      <c r="F125" s="20">
        <v>16.3</v>
      </c>
      <c r="G125" s="13" t="s">
        <v>218</v>
      </c>
      <c r="H125" s="14" t="s">
        <v>219</v>
      </c>
    </row>
    <row r="126" spans="1:8" ht="49.5" customHeight="1" x14ac:dyDescent="0.3">
      <c r="A126" s="18" t="s">
        <v>11</v>
      </c>
      <c r="B126" s="19" t="s">
        <v>20</v>
      </c>
      <c r="C126" s="18" t="s">
        <v>294</v>
      </c>
      <c r="D126" s="18">
        <v>1</v>
      </c>
      <c r="E126" s="18">
        <v>100</v>
      </c>
      <c r="F126" s="20">
        <v>100</v>
      </c>
      <c r="G126" s="13" t="s">
        <v>295</v>
      </c>
      <c r="H126" s="14" t="s">
        <v>296</v>
      </c>
    </row>
    <row r="127" spans="1:8" ht="64.05" customHeight="1" x14ac:dyDescent="0.3">
      <c r="A127" s="18" t="s">
        <v>11</v>
      </c>
      <c r="B127" s="19" t="s">
        <v>20</v>
      </c>
      <c r="C127" s="18" t="s">
        <v>294</v>
      </c>
      <c r="D127" s="18">
        <v>11</v>
      </c>
      <c r="E127" s="18">
        <v>83</v>
      </c>
      <c r="F127" s="20">
        <v>7.5</v>
      </c>
      <c r="G127" s="13" t="s">
        <v>297</v>
      </c>
      <c r="H127" s="14" t="s">
        <v>298</v>
      </c>
    </row>
    <row r="128" spans="1:8" ht="64.05" customHeight="1" x14ac:dyDescent="0.3">
      <c r="A128" s="18" t="s">
        <v>11</v>
      </c>
      <c r="B128" s="19" t="s">
        <v>20</v>
      </c>
      <c r="C128" s="18" t="s">
        <v>294</v>
      </c>
      <c r="D128" s="18">
        <v>3</v>
      </c>
      <c r="E128" s="18">
        <v>35</v>
      </c>
      <c r="F128" s="20">
        <v>11.7</v>
      </c>
      <c r="G128" s="13" t="s">
        <v>220</v>
      </c>
      <c r="H128" s="14" t="s">
        <v>221</v>
      </c>
    </row>
    <row r="129" spans="1:8" ht="49.5" customHeight="1" x14ac:dyDescent="0.3">
      <c r="A129" s="18" t="s">
        <v>11</v>
      </c>
      <c r="B129" s="19" t="s">
        <v>20</v>
      </c>
      <c r="C129" s="18" t="s">
        <v>294</v>
      </c>
      <c r="D129" s="18">
        <v>1</v>
      </c>
      <c r="E129" s="18">
        <v>15</v>
      </c>
      <c r="F129" s="20">
        <v>15</v>
      </c>
      <c r="G129" s="13" t="s">
        <v>222</v>
      </c>
      <c r="H129" s="14" t="s">
        <v>223</v>
      </c>
    </row>
    <row r="130" spans="1:8" ht="64.05" customHeight="1" x14ac:dyDescent="0.3">
      <c r="A130" s="18" t="s">
        <v>11</v>
      </c>
      <c r="B130" s="19" t="s">
        <v>23</v>
      </c>
      <c r="C130" s="18" t="s">
        <v>299</v>
      </c>
      <c r="D130" s="18">
        <v>9</v>
      </c>
      <c r="E130" s="18">
        <v>907</v>
      </c>
      <c r="F130" s="20">
        <v>100.8</v>
      </c>
      <c r="G130" s="13" t="s">
        <v>43</v>
      </c>
      <c r="H130" s="14" t="s">
        <v>108</v>
      </c>
    </row>
    <row r="131" spans="1:8" ht="64.05" customHeight="1" x14ac:dyDescent="0.3">
      <c r="A131" s="18" t="s">
        <v>11</v>
      </c>
      <c r="B131" s="19" t="s">
        <v>23</v>
      </c>
      <c r="C131" s="18" t="s">
        <v>299</v>
      </c>
      <c r="D131" s="18">
        <v>1</v>
      </c>
      <c r="E131" s="18">
        <v>26</v>
      </c>
      <c r="F131" s="20">
        <v>26</v>
      </c>
      <c r="G131" s="13" t="s">
        <v>41</v>
      </c>
      <c r="H131" s="14" t="s">
        <v>108</v>
      </c>
    </row>
    <row r="132" spans="1:8" ht="121.95" customHeight="1" x14ac:dyDescent="0.3">
      <c r="A132" s="18" t="s">
        <v>11</v>
      </c>
      <c r="B132" s="19" t="s">
        <v>24</v>
      </c>
      <c r="C132" s="18" t="s">
        <v>300</v>
      </c>
      <c r="D132" s="18">
        <v>39</v>
      </c>
      <c r="E132" s="18">
        <v>877</v>
      </c>
      <c r="F132" s="20">
        <v>22.5</v>
      </c>
      <c r="G132" s="13" t="s">
        <v>45</v>
      </c>
      <c r="H132" s="14" t="s">
        <v>69</v>
      </c>
    </row>
    <row r="133" spans="1:8" ht="64.05" customHeight="1" x14ac:dyDescent="0.3">
      <c r="A133" s="18" t="s">
        <v>11</v>
      </c>
      <c r="B133" s="19" t="s">
        <v>24</v>
      </c>
      <c r="C133" s="18" t="s">
        <v>300</v>
      </c>
      <c r="D133" s="18">
        <v>1</v>
      </c>
      <c r="E133" s="18">
        <v>10</v>
      </c>
      <c r="F133" s="20">
        <v>10</v>
      </c>
      <c r="G133" s="13" t="s">
        <v>301</v>
      </c>
      <c r="H133" s="14" t="s">
        <v>302</v>
      </c>
    </row>
    <row r="134" spans="1:8" ht="64.05" customHeight="1" x14ac:dyDescent="0.3">
      <c r="A134" s="18" t="s">
        <v>11</v>
      </c>
      <c r="B134" s="19" t="s">
        <v>154</v>
      </c>
      <c r="C134" s="18" t="s">
        <v>303</v>
      </c>
      <c r="D134" s="18">
        <v>10</v>
      </c>
      <c r="E134" s="18">
        <v>455</v>
      </c>
      <c r="F134" s="20">
        <v>45.5</v>
      </c>
      <c r="G134" s="13" t="s">
        <v>156</v>
      </c>
      <c r="H134" s="14" t="s">
        <v>157</v>
      </c>
    </row>
    <row r="135" spans="1:8" ht="49.5" customHeight="1" x14ac:dyDescent="0.3">
      <c r="A135" s="18" t="s">
        <v>11</v>
      </c>
      <c r="B135" s="19" t="s">
        <v>154</v>
      </c>
      <c r="C135" s="18" t="s">
        <v>303</v>
      </c>
      <c r="D135" s="18">
        <v>1</v>
      </c>
      <c r="E135" s="18">
        <v>270</v>
      </c>
      <c r="F135" s="20">
        <v>270</v>
      </c>
      <c r="G135" s="13" t="s">
        <v>304</v>
      </c>
      <c r="H135" s="14" t="s">
        <v>305</v>
      </c>
    </row>
    <row r="136" spans="1:8" ht="49.5" customHeight="1" x14ac:dyDescent="0.3">
      <c r="A136" s="18" t="s">
        <v>11</v>
      </c>
      <c r="B136" s="19" t="s">
        <v>154</v>
      </c>
      <c r="C136" s="18" t="s">
        <v>303</v>
      </c>
      <c r="D136" s="18">
        <v>2</v>
      </c>
      <c r="E136" s="18">
        <v>25</v>
      </c>
      <c r="F136" s="20">
        <v>12.5</v>
      </c>
      <c r="G136" s="13" t="s">
        <v>158</v>
      </c>
      <c r="H136" s="14" t="s">
        <v>159</v>
      </c>
    </row>
    <row r="137" spans="1:8" ht="64.05" customHeight="1" x14ac:dyDescent="0.3">
      <c r="A137" s="18" t="s">
        <v>11</v>
      </c>
      <c r="B137" s="19" t="s">
        <v>26</v>
      </c>
      <c r="C137" s="18" t="s">
        <v>306</v>
      </c>
      <c r="D137" s="18">
        <v>10</v>
      </c>
      <c r="E137" s="18">
        <v>380</v>
      </c>
      <c r="F137" s="20">
        <v>38</v>
      </c>
      <c r="G137" s="13" t="s">
        <v>114</v>
      </c>
      <c r="H137" s="14" t="s">
        <v>115</v>
      </c>
    </row>
    <row r="138" spans="1:8" ht="64.05" customHeight="1" x14ac:dyDescent="0.3">
      <c r="A138" s="18" t="s">
        <v>11</v>
      </c>
      <c r="B138" s="19" t="s">
        <v>26</v>
      </c>
      <c r="C138" s="18" t="s">
        <v>306</v>
      </c>
      <c r="D138" s="18">
        <v>6</v>
      </c>
      <c r="E138" s="18">
        <v>195</v>
      </c>
      <c r="F138" s="20">
        <v>32.5</v>
      </c>
      <c r="G138" s="13" t="s">
        <v>112</v>
      </c>
      <c r="H138" s="14" t="s">
        <v>113</v>
      </c>
    </row>
    <row r="139" spans="1:8" ht="64.05" customHeight="1" x14ac:dyDescent="0.3">
      <c r="A139" s="18" t="s">
        <v>11</v>
      </c>
      <c r="B139" s="19" t="s">
        <v>26</v>
      </c>
      <c r="C139" s="18" t="s">
        <v>306</v>
      </c>
      <c r="D139" s="18">
        <v>5</v>
      </c>
      <c r="E139" s="18">
        <v>75</v>
      </c>
      <c r="F139" s="20">
        <v>15</v>
      </c>
      <c r="G139" s="13" t="s">
        <v>307</v>
      </c>
      <c r="H139" s="14" t="s">
        <v>308</v>
      </c>
    </row>
    <row r="140" spans="1:8" ht="64.05" customHeight="1" x14ac:dyDescent="0.3">
      <c r="A140" s="18" t="s">
        <v>11</v>
      </c>
      <c r="B140" s="19" t="s">
        <v>26</v>
      </c>
      <c r="C140" s="18" t="s">
        <v>306</v>
      </c>
      <c r="D140" s="18">
        <v>1</v>
      </c>
      <c r="E140" s="18">
        <v>10</v>
      </c>
      <c r="F140" s="20">
        <v>10</v>
      </c>
      <c r="G140" s="13" t="s">
        <v>110</v>
      </c>
      <c r="H140" s="14" t="s">
        <v>111</v>
      </c>
    </row>
    <row r="141" spans="1:8" ht="78.45" customHeight="1" x14ac:dyDescent="0.3">
      <c r="A141" s="18" t="s">
        <v>11</v>
      </c>
      <c r="B141" s="19" t="s">
        <v>21</v>
      </c>
      <c r="C141" s="18" t="s">
        <v>309</v>
      </c>
      <c r="D141" s="18">
        <v>6</v>
      </c>
      <c r="E141" s="18">
        <v>200</v>
      </c>
      <c r="F141" s="20">
        <v>33.299999999999997</v>
      </c>
      <c r="G141" s="13" t="s">
        <v>87</v>
      </c>
      <c r="H141" s="14" t="s">
        <v>88</v>
      </c>
    </row>
    <row r="142" spans="1:8" ht="64.05" customHeight="1" x14ac:dyDescent="0.3">
      <c r="A142" s="18" t="s">
        <v>11</v>
      </c>
      <c r="B142" s="19" t="s">
        <v>21</v>
      </c>
      <c r="C142" s="18" t="s">
        <v>309</v>
      </c>
      <c r="D142" s="18">
        <v>2</v>
      </c>
      <c r="E142" s="18">
        <v>121</v>
      </c>
      <c r="F142" s="20">
        <v>60.5</v>
      </c>
      <c r="G142" s="13" t="s">
        <v>225</v>
      </c>
      <c r="H142" s="14" t="s">
        <v>226</v>
      </c>
    </row>
    <row r="143" spans="1:8" ht="165.45" customHeight="1" x14ac:dyDescent="0.3">
      <c r="A143" s="18" t="s">
        <v>11</v>
      </c>
      <c r="B143" s="19" t="s">
        <v>310</v>
      </c>
      <c r="C143" s="18" t="s">
        <v>311</v>
      </c>
      <c r="D143" s="18">
        <v>38</v>
      </c>
      <c r="E143" s="18">
        <v>299</v>
      </c>
      <c r="F143" s="20">
        <v>7.9</v>
      </c>
      <c r="G143" s="13" t="s">
        <v>312</v>
      </c>
      <c r="H143" s="14" t="s">
        <v>98</v>
      </c>
    </row>
    <row r="144" spans="1:8" ht="64.05" customHeight="1" x14ac:dyDescent="0.3">
      <c r="A144" s="18" t="s">
        <v>11</v>
      </c>
      <c r="B144" s="19" t="s">
        <v>283</v>
      </c>
      <c r="C144" s="18" t="s">
        <v>284</v>
      </c>
      <c r="D144" s="18">
        <v>1</v>
      </c>
      <c r="E144" s="18">
        <v>290</v>
      </c>
      <c r="F144" s="20">
        <v>290</v>
      </c>
      <c r="G144" s="13" t="s">
        <v>285</v>
      </c>
      <c r="H144" s="14" t="s">
        <v>286</v>
      </c>
    </row>
    <row r="145" spans="1:8" ht="78.45" customHeight="1" x14ac:dyDescent="0.3">
      <c r="A145" s="18" t="s">
        <v>11</v>
      </c>
      <c r="B145" s="19" t="s">
        <v>25</v>
      </c>
      <c r="C145" s="18" t="s">
        <v>313</v>
      </c>
      <c r="D145" s="18">
        <v>9</v>
      </c>
      <c r="E145" s="18">
        <v>245</v>
      </c>
      <c r="F145" s="20">
        <v>27.2</v>
      </c>
      <c r="G145" s="13" t="s">
        <v>50</v>
      </c>
      <c r="H145" s="14" t="s">
        <v>90</v>
      </c>
    </row>
    <row r="146" spans="1:8" ht="93" customHeight="1" x14ac:dyDescent="0.3">
      <c r="A146" s="18" t="s">
        <v>11</v>
      </c>
      <c r="B146" s="19" t="s">
        <v>25</v>
      </c>
      <c r="C146" s="18" t="s">
        <v>313</v>
      </c>
      <c r="D146" s="18">
        <v>9</v>
      </c>
      <c r="E146" s="18">
        <v>42</v>
      </c>
      <c r="F146" s="20">
        <v>4.7</v>
      </c>
      <c r="G146" s="13" t="s">
        <v>93</v>
      </c>
      <c r="H146" s="14" t="s">
        <v>94</v>
      </c>
    </row>
    <row r="147" spans="1:8" ht="49.5" customHeight="1" x14ac:dyDescent="0.3">
      <c r="A147" s="18" t="s">
        <v>11</v>
      </c>
      <c r="B147" s="19" t="s">
        <v>314</v>
      </c>
      <c r="C147" s="18" t="s">
        <v>315</v>
      </c>
      <c r="D147" s="18">
        <v>2</v>
      </c>
      <c r="E147" s="18">
        <v>160</v>
      </c>
      <c r="F147" s="20">
        <v>80</v>
      </c>
      <c r="G147" s="13" t="s">
        <v>316</v>
      </c>
      <c r="H147" s="14" t="s">
        <v>317</v>
      </c>
    </row>
    <row r="148" spans="1:8" ht="64.05" customHeight="1" x14ac:dyDescent="0.3">
      <c r="A148" s="18" t="s">
        <v>11</v>
      </c>
      <c r="B148" s="19" t="s">
        <v>99</v>
      </c>
      <c r="C148" s="18" t="s">
        <v>318</v>
      </c>
      <c r="D148" s="18">
        <v>3</v>
      </c>
      <c r="E148" s="18">
        <v>151</v>
      </c>
      <c r="F148" s="20">
        <v>50.3</v>
      </c>
      <c r="G148" s="13" t="s">
        <v>101</v>
      </c>
      <c r="H148" s="14" t="s">
        <v>102</v>
      </c>
    </row>
    <row r="149" spans="1:8" ht="78.45" customHeight="1" x14ac:dyDescent="0.3">
      <c r="A149" s="18" t="s">
        <v>11</v>
      </c>
      <c r="B149" s="19" t="s">
        <v>138</v>
      </c>
      <c r="C149" s="18" t="s">
        <v>319</v>
      </c>
      <c r="D149" s="18">
        <v>6</v>
      </c>
      <c r="E149" s="18">
        <v>145</v>
      </c>
      <c r="F149" s="20">
        <v>24.2</v>
      </c>
      <c r="G149" s="13" t="s">
        <v>140</v>
      </c>
      <c r="H149" s="14" t="s">
        <v>141</v>
      </c>
    </row>
    <row r="150" spans="1:8" ht="49.5" customHeight="1" x14ac:dyDescent="0.3">
      <c r="A150" s="18" t="s">
        <v>11</v>
      </c>
      <c r="B150" s="19" t="s">
        <v>289</v>
      </c>
      <c r="C150" s="18" t="s">
        <v>320</v>
      </c>
      <c r="D150" s="18">
        <v>6</v>
      </c>
      <c r="E150" s="18">
        <v>136</v>
      </c>
      <c r="F150" s="20">
        <v>22.7</v>
      </c>
      <c r="G150" s="13" t="s">
        <v>291</v>
      </c>
      <c r="H150" s="14" t="s">
        <v>292</v>
      </c>
    </row>
    <row r="151" spans="1:8" ht="78.45" customHeight="1" x14ac:dyDescent="0.3">
      <c r="A151" s="18" t="s">
        <v>11</v>
      </c>
      <c r="B151" s="19" t="s">
        <v>116</v>
      </c>
      <c r="C151" s="18" t="s">
        <v>309</v>
      </c>
      <c r="D151" s="18">
        <v>3</v>
      </c>
      <c r="E151" s="18">
        <v>125</v>
      </c>
      <c r="F151" s="20">
        <v>41.7</v>
      </c>
      <c r="G151" s="13" t="s">
        <v>118</v>
      </c>
      <c r="H151" s="14" t="s">
        <v>119</v>
      </c>
    </row>
    <row r="152" spans="1:8" ht="49.5" customHeight="1" x14ac:dyDescent="0.3">
      <c r="A152" s="18" t="s">
        <v>11</v>
      </c>
      <c r="B152" s="19" t="s">
        <v>148</v>
      </c>
      <c r="C152" s="18" t="s">
        <v>321</v>
      </c>
      <c r="D152" s="18">
        <v>1</v>
      </c>
      <c r="E152" s="18">
        <v>120</v>
      </c>
      <c r="F152" s="20">
        <v>120</v>
      </c>
      <c r="G152" s="13" t="s">
        <v>265</v>
      </c>
      <c r="H152" s="14" t="s">
        <v>266</v>
      </c>
    </row>
    <row r="153" spans="1:8" ht="64.05" customHeight="1" x14ac:dyDescent="0.3">
      <c r="A153" s="18" t="s">
        <v>11</v>
      </c>
      <c r="B153" s="19" t="s">
        <v>162</v>
      </c>
      <c r="C153" s="18" t="s">
        <v>322</v>
      </c>
      <c r="D153" s="18">
        <v>2</v>
      </c>
      <c r="E153" s="18">
        <v>110</v>
      </c>
      <c r="F153" s="20">
        <v>55</v>
      </c>
      <c r="G153" s="13" t="s">
        <v>164</v>
      </c>
      <c r="H153" s="14" t="s">
        <v>165</v>
      </c>
    </row>
    <row r="154" spans="1:8" ht="165.45" customHeight="1" x14ac:dyDescent="0.3">
      <c r="A154" s="18" t="s">
        <v>11</v>
      </c>
      <c r="B154" s="19" t="s">
        <v>323</v>
      </c>
      <c r="C154" s="18" t="s">
        <v>324</v>
      </c>
      <c r="D154" s="18">
        <v>14</v>
      </c>
      <c r="E154" s="18">
        <v>108</v>
      </c>
      <c r="F154" s="20">
        <v>7.7</v>
      </c>
      <c r="G154" s="13" t="s">
        <v>325</v>
      </c>
      <c r="H154" s="14" t="s">
        <v>98</v>
      </c>
    </row>
    <row r="155" spans="1:8" ht="78.45" customHeight="1" x14ac:dyDescent="0.3">
      <c r="A155" s="18" t="s">
        <v>11</v>
      </c>
      <c r="B155" s="19" t="s">
        <v>27</v>
      </c>
      <c r="C155" s="18" t="s">
        <v>326</v>
      </c>
      <c r="D155" s="18">
        <v>4</v>
      </c>
      <c r="E155" s="18">
        <v>84</v>
      </c>
      <c r="F155" s="20">
        <v>21</v>
      </c>
      <c r="G155" s="13" t="s">
        <v>47</v>
      </c>
      <c r="H155" s="14" t="s">
        <v>75</v>
      </c>
    </row>
    <row r="156" spans="1:8" ht="49.5" customHeight="1" x14ac:dyDescent="0.3">
      <c r="A156" s="18" t="s">
        <v>11</v>
      </c>
      <c r="B156" s="19" t="s">
        <v>327</v>
      </c>
      <c r="C156" s="18" t="s">
        <v>328</v>
      </c>
      <c r="D156" s="18">
        <v>2</v>
      </c>
      <c r="E156" s="18">
        <v>65</v>
      </c>
      <c r="F156" s="20">
        <v>32.5</v>
      </c>
      <c r="G156" s="13" t="s">
        <v>329</v>
      </c>
      <c r="H156" s="14" t="s">
        <v>330</v>
      </c>
    </row>
    <row r="157" spans="1:8" ht="64.05" customHeight="1" x14ac:dyDescent="0.3">
      <c r="A157" s="18" t="s">
        <v>11</v>
      </c>
      <c r="B157" s="19" t="s">
        <v>144</v>
      </c>
      <c r="C157" s="18" t="s">
        <v>331</v>
      </c>
      <c r="D157" s="18">
        <v>2</v>
      </c>
      <c r="E157" s="18">
        <v>53</v>
      </c>
      <c r="F157" s="20">
        <v>26.5</v>
      </c>
      <c r="G157" s="13" t="s">
        <v>146</v>
      </c>
      <c r="H157" s="14" t="s">
        <v>147</v>
      </c>
    </row>
    <row r="158" spans="1:8" ht="64.05" customHeight="1" x14ac:dyDescent="0.3">
      <c r="A158" s="18" t="s">
        <v>11</v>
      </c>
      <c r="B158" s="19" t="s">
        <v>19</v>
      </c>
      <c r="C158" s="18" t="s">
        <v>332</v>
      </c>
      <c r="D158" s="18">
        <v>1</v>
      </c>
      <c r="E158" s="18">
        <v>50</v>
      </c>
      <c r="F158" s="20">
        <v>50</v>
      </c>
      <c r="G158" s="13" t="s">
        <v>66</v>
      </c>
      <c r="H158" s="14" t="s">
        <v>67</v>
      </c>
    </row>
    <row r="159" spans="1:8" ht="64.05" customHeight="1" x14ac:dyDescent="0.3">
      <c r="A159" s="18" t="s">
        <v>11</v>
      </c>
      <c r="B159" s="19" t="s">
        <v>128</v>
      </c>
      <c r="C159" s="18" t="s">
        <v>333</v>
      </c>
      <c r="D159" s="18">
        <v>2</v>
      </c>
      <c r="E159" s="18">
        <v>32</v>
      </c>
      <c r="F159" s="20">
        <v>16</v>
      </c>
      <c r="G159" s="13" t="s">
        <v>130</v>
      </c>
      <c r="H159" s="14" t="s">
        <v>131</v>
      </c>
    </row>
    <row r="160" spans="1:8" ht="49.5" customHeight="1" x14ac:dyDescent="0.3">
      <c r="A160" s="18" t="s">
        <v>11</v>
      </c>
      <c r="B160" s="19" t="s">
        <v>334</v>
      </c>
      <c r="C160" s="18" t="s">
        <v>335</v>
      </c>
      <c r="D160" s="18">
        <v>1</v>
      </c>
      <c r="E160" s="18">
        <v>20</v>
      </c>
      <c r="F160" s="20">
        <v>20</v>
      </c>
      <c r="G160" s="13" t="s">
        <v>336</v>
      </c>
      <c r="H160" s="14" t="s">
        <v>337</v>
      </c>
    </row>
    <row r="161" spans="1:8" ht="34.950000000000003" customHeight="1" x14ac:dyDescent="0.3">
      <c r="A161" s="18" t="s">
        <v>11</v>
      </c>
      <c r="B161" s="19" t="s">
        <v>338</v>
      </c>
      <c r="C161" s="18" t="s">
        <v>339</v>
      </c>
      <c r="D161" s="18">
        <v>1</v>
      </c>
      <c r="E161" s="18">
        <v>20</v>
      </c>
      <c r="F161" s="20">
        <v>20</v>
      </c>
      <c r="G161" s="13" t="s">
        <v>340</v>
      </c>
      <c r="H161" s="14" t="s">
        <v>341</v>
      </c>
    </row>
    <row r="162" spans="1:8" ht="64.05" customHeight="1" x14ac:dyDescent="0.3">
      <c r="A162" s="18" t="s">
        <v>11</v>
      </c>
      <c r="B162" s="19" t="s">
        <v>192</v>
      </c>
      <c r="C162" s="18" t="s">
        <v>342</v>
      </c>
      <c r="D162" s="18">
        <v>1</v>
      </c>
      <c r="E162" s="18">
        <v>16</v>
      </c>
      <c r="F162" s="20">
        <v>16</v>
      </c>
      <c r="G162" s="13" t="s">
        <v>343</v>
      </c>
      <c r="H162" s="14" t="s">
        <v>344</v>
      </c>
    </row>
    <row r="163" spans="1:8" ht="34.950000000000003" customHeight="1" x14ac:dyDescent="0.3">
      <c r="A163" s="18" t="s">
        <v>11</v>
      </c>
      <c r="B163" s="19" t="s">
        <v>209</v>
      </c>
      <c r="C163" s="18" t="s">
        <v>345</v>
      </c>
      <c r="D163" s="18">
        <v>1</v>
      </c>
      <c r="E163" s="18">
        <v>10</v>
      </c>
      <c r="F163" s="20">
        <v>10</v>
      </c>
      <c r="G163" s="13" t="s">
        <v>346</v>
      </c>
      <c r="H163" s="14" t="s">
        <v>347</v>
      </c>
    </row>
  </sheetData>
  <autoFilter ref="A4:H163" xr:uid="{00000000-0009-0000-0000-000002000000}"/>
  <mergeCells count="1">
    <mergeCell ref="A2:H2"/>
  </mergeCell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65"/>
  <sheetViews>
    <sheetView workbookViewId="0">
      <pane ySplit="4" topLeftCell="A62" activePane="bottomLeft" state="frozen"/>
      <selection pane="bottomLeft" activeCell="H6" sqref="H6"/>
    </sheetView>
  </sheetViews>
  <sheetFormatPr baseColWidth="10" defaultColWidth="8.88671875" defaultRowHeight="14.4" x14ac:dyDescent="0.3"/>
  <cols>
    <col min="1" max="1" width="11" customWidth="1"/>
    <col min="2" max="2" width="28" customWidth="1"/>
    <col min="3" max="3" width="13" customWidth="1"/>
    <col min="4" max="4" width="10" customWidth="1"/>
    <col min="5" max="6" width="12" customWidth="1"/>
    <col min="7" max="7" width="30" customWidth="1"/>
    <col min="8" max="8" width="80" customWidth="1"/>
  </cols>
  <sheetData>
    <row r="1" spans="1:8" ht="18" x14ac:dyDescent="0.35">
      <c r="A1" s="1" t="s">
        <v>348</v>
      </c>
    </row>
    <row r="2" spans="1:8" ht="34.049999999999997" customHeight="1" x14ac:dyDescent="0.3">
      <c r="A2" s="21" t="s">
        <v>52</v>
      </c>
      <c r="B2" s="22"/>
      <c r="C2" s="22"/>
      <c r="D2" s="22"/>
      <c r="E2" s="22"/>
      <c r="F2" s="22"/>
      <c r="G2" s="22"/>
      <c r="H2" s="22"/>
    </row>
    <row r="4" spans="1:8" ht="48" customHeight="1" x14ac:dyDescent="0.3">
      <c r="A4" s="2" t="s">
        <v>0</v>
      </c>
      <c r="B4" s="2" t="s">
        <v>16</v>
      </c>
      <c r="C4" s="2" t="s">
        <v>53</v>
      </c>
      <c r="D4" s="2" t="s">
        <v>2</v>
      </c>
      <c r="E4" s="2" t="s">
        <v>3</v>
      </c>
      <c r="F4" s="2" t="s">
        <v>54</v>
      </c>
      <c r="G4" s="2" t="s">
        <v>31</v>
      </c>
      <c r="H4" s="2" t="s">
        <v>55</v>
      </c>
    </row>
    <row r="5" spans="1:8" ht="64.05" customHeight="1" x14ac:dyDescent="0.3">
      <c r="A5" s="10" t="s">
        <v>7</v>
      </c>
      <c r="B5" s="11" t="s">
        <v>19</v>
      </c>
      <c r="C5" s="10" t="s">
        <v>56</v>
      </c>
      <c r="D5" s="10">
        <v>19</v>
      </c>
      <c r="E5" s="10">
        <v>1162</v>
      </c>
      <c r="F5" s="12">
        <v>61.2</v>
      </c>
      <c r="G5" s="13" t="s">
        <v>37</v>
      </c>
      <c r="H5" s="14" t="s">
        <v>57</v>
      </c>
    </row>
    <row r="6" spans="1:8" ht="78.45" customHeight="1" x14ac:dyDescent="0.3">
      <c r="A6" s="10" t="s">
        <v>7</v>
      </c>
      <c r="B6" s="11" t="s">
        <v>19</v>
      </c>
      <c r="C6" s="10" t="s">
        <v>56</v>
      </c>
      <c r="D6" s="10">
        <v>2</v>
      </c>
      <c r="E6" s="10">
        <v>499</v>
      </c>
      <c r="F6" s="12">
        <v>249.5</v>
      </c>
      <c r="G6" s="13" t="s">
        <v>58</v>
      </c>
      <c r="H6" s="14" t="s">
        <v>59</v>
      </c>
    </row>
    <row r="7" spans="1:8" ht="64.05" customHeight="1" x14ac:dyDescent="0.3">
      <c r="A7" s="10" t="s">
        <v>7</v>
      </c>
      <c r="B7" s="11" t="s">
        <v>19</v>
      </c>
      <c r="C7" s="10" t="s">
        <v>56</v>
      </c>
      <c r="D7" s="10">
        <v>6</v>
      </c>
      <c r="E7" s="10">
        <v>438</v>
      </c>
      <c r="F7" s="12">
        <v>73</v>
      </c>
      <c r="G7" s="13" t="s">
        <v>60</v>
      </c>
      <c r="H7" s="14" t="s">
        <v>61</v>
      </c>
    </row>
    <row r="8" spans="1:8" ht="78.45" customHeight="1" x14ac:dyDescent="0.3">
      <c r="A8" s="10" t="s">
        <v>7</v>
      </c>
      <c r="B8" s="11" t="s">
        <v>19</v>
      </c>
      <c r="C8" s="10" t="s">
        <v>56</v>
      </c>
      <c r="D8" s="10">
        <v>5</v>
      </c>
      <c r="E8" s="10">
        <v>292</v>
      </c>
      <c r="F8" s="12">
        <v>58.4</v>
      </c>
      <c r="G8" s="13" t="s">
        <v>62</v>
      </c>
      <c r="H8" s="14" t="s">
        <v>63</v>
      </c>
    </row>
    <row r="9" spans="1:8" ht="49.5" customHeight="1" x14ac:dyDescent="0.3">
      <c r="A9" s="10" t="s">
        <v>7</v>
      </c>
      <c r="B9" s="11" t="s">
        <v>19</v>
      </c>
      <c r="C9" s="10" t="s">
        <v>56</v>
      </c>
      <c r="D9" s="10">
        <v>4</v>
      </c>
      <c r="E9" s="10">
        <v>191</v>
      </c>
      <c r="F9" s="12">
        <v>47.8</v>
      </c>
      <c r="G9" s="13" t="s">
        <v>64</v>
      </c>
      <c r="H9" s="14" t="s">
        <v>65</v>
      </c>
    </row>
    <row r="10" spans="1:8" ht="64.05" customHeight="1" x14ac:dyDescent="0.3">
      <c r="A10" s="10" t="s">
        <v>7</v>
      </c>
      <c r="B10" s="11" t="s">
        <v>19</v>
      </c>
      <c r="C10" s="10" t="s">
        <v>56</v>
      </c>
      <c r="D10" s="10">
        <v>4</v>
      </c>
      <c r="E10" s="10">
        <v>37</v>
      </c>
      <c r="F10" s="12">
        <v>9.1999999999999993</v>
      </c>
      <c r="G10" s="13" t="s">
        <v>66</v>
      </c>
      <c r="H10" s="14" t="s">
        <v>67</v>
      </c>
    </row>
    <row r="11" spans="1:8" ht="121.95" customHeight="1" x14ac:dyDescent="0.3">
      <c r="A11" s="10" t="s">
        <v>7</v>
      </c>
      <c r="B11" s="11" t="s">
        <v>24</v>
      </c>
      <c r="C11" s="10" t="s">
        <v>68</v>
      </c>
      <c r="D11" s="10">
        <v>29</v>
      </c>
      <c r="E11" s="10">
        <v>786</v>
      </c>
      <c r="F11" s="12">
        <v>27.1</v>
      </c>
      <c r="G11" s="13" t="s">
        <v>45</v>
      </c>
      <c r="H11" s="14" t="s">
        <v>69</v>
      </c>
    </row>
    <row r="12" spans="1:8" ht="93" customHeight="1" x14ac:dyDescent="0.3">
      <c r="A12" s="10" t="s">
        <v>7</v>
      </c>
      <c r="B12" s="11" t="s">
        <v>24</v>
      </c>
      <c r="C12" s="10" t="s">
        <v>68</v>
      </c>
      <c r="D12" s="10">
        <v>7</v>
      </c>
      <c r="E12" s="10">
        <v>54</v>
      </c>
      <c r="F12" s="12">
        <v>7.7</v>
      </c>
      <c r="G12" s="13" t="s">
        <v>70</v>
      </c>
      <c r="H12" s="14" t="s">
        <v>71</v>
      </c>
    </row>
    <row r="13" spans="1:8" ht="49.5" customHeight="1" x14ac:dyDescent="0.3">
      <c r="A13" s="10" t="s">
        <v>7</v>
      </c>
      <c r="B13" s="11" t="s">
        <v>24</v>
      </c>
      <c r="C13" s="10" t="s">
        <v>68</v>
      </c>
      <c r="D13" s="10">
        <v>1</v>
      </c>
      <c r="E13" s="10">
        <v>21</v>
      </c>
      <c r="F13" s="12">
        <v>21</v>
      </c>
      <c r="G13" s="13" t="s">
        <v>72</v>
      </c>
      <c r="H13" s="14" t="s">
        <v>73</v>
      </c>
    </row>
    <row r="14" spans="1:8" ht="78.45" customHeight="1" x14ac:dyDescent="0.3">
      <c r="A14" s="10" t="s">
        <v>7</v>
      </c>
      <c r="B14" s="11" t="s">
        <v>27</v>
      </c>
      <c r="C14" s="10" t="s">
        <v>74</v>
      </c>
      <c r="D14" s="10">
        <v>8</v>
      </c>
      <c r="E14" s="10">
        <v>819</v>
      </c>
      <c r="F14" s="12">
        <v>102.4</v>
      </c>
      <c r="G14" s="13" t="s">
        <v>47</v>
      </c>
      <c r="H14" s="14" t="s">
        <v>75</v>
      </c>
    </row>
    <row r="15" spans="1:8" ht="78.45" customHeight="1" x14ac:dyDescent="0.3">
      <c r="A15" s="10" t="s">
        <v>7</v>
      </c>
      <c r="B15" s="11" t="s">
        <v>21</v>
      </c>
      <c r="C15" s="10" t="s">
        <v>76</v>
      </c>
      <c r="D15" s="10">
        <v>21</v>
      </c>
      <c r="E15" s="10">
        <v>315</v>
      </c>
      <c r="F15" s="12">
        <v>15</v>
      </c>
      <c r="G15" s="13" t="s">
        <v>77</v>
      </c>
      <c r="H15" s="14" t="s">
        <v>78</v>
      </c>
    </row>
    <row r="16" spans="1:8" ht="64.05" customHeight="1" x14ac:dyDescent="0.3">
      <c r="A16" s="10" t="s">
        <v>7</v>
      </c>
      <c r="B16" s="11" t="s">
        <v>21</v>
      </c>
      <c r="C16" s="10" t="s">
        <v>76</v>
      </c>
      <c r="D16" s="10">
        <v>1</v>
      </c>
      <c r="E16" s="10">
        <v>245</v>
      </c>
      <c r="F16" s="12">
        <v>245</v>
      </c>
      <c r="G16" s="13" t="s">
        <v>79</v>
      </c>
      <c r="H16" s="14" t="s">
        <v>80</v>
      </c>
    </row>
    <row r="17" spans="1:8" ht="49.5" customHeight="1" x14ac:dyDescent="0.3">
      <c r="A17" s="10" t="s">
        <v>7</v>
      </c>
      <c r="B17" s="11" t="s">
        <v>21</v>
      </c>
      <c r="C17" s="10" t="s">
        <v>76</v>
      </c>
      <c r="D17" s="10">
        <v>5</v>
      </c>
      <c r="E17" s="10">
        <v>103</v>
      </c>
      <c r="F17" s="12">
        <v>20.6</v>
      </c>
      <c r="G17" s="13" t="s">
        <v>81</v>
      </c>
      <c r="H17" s="14" t="s">
        <v>82</v>
      </c>
    </row>
    <row r="18" spans="1:8" ht="78.45" customHeight="1" x14ac:dyDescent="0.3">
      <c r="A18" s="10" t="s">
        <v>7</v>
      </c>
      <c r="B18" s="11" t="s">
        <v>21</v>
      </c>
      <c r="C18" s="10" t="s">
        <v>76</v>
      </c>
      <c r="D18" s="10">
        <v>14</v>
      </c>
      <c r="E18" s="10">
        <v>102</v>
      </c>
      <c r="F18" s="12">
        <v>7.3</v>
      </c>
      <c r="G18" s="13" t="s">
        <v>83</v>
      </c>
      <c r="H18" s="14" t="s">
        <v>84</v>
      </c>
    </row>
    <row r="19" spans="1:8" ht="49.5" customHeight="1" x14ac:dyDescent="0.3">
      <c r="A19" s="10" t="s">
        <v>7</v>
      </c>
      <c r="B19" s="11" t="s">
        <v>21</v>
      </c>
      <c r="C19" s="10" t="s">
        <v>76</v>
      </c>
      <c r="D19" s="10">
        <v>1</v>
      </c>
      <c r="E19" s="10">
        <v>33</v>
      </c>
      <c r="F19" s="12">
        <v>33</v>
      </c>
      <c r="G19" s="13" t="s">
        <v>85</v>
      </c>
      <c r="H19" s="14" t="s">
        <v>86</v>
      </c>
    </row>
    <row r="20" spans="1:8" ht="78.45" customHeight="1" x14ac:dyDescent="0.3">
      <c r="A20" s="10" t="s">
        <v>7</v>
      </c>
      <c r="B20" s="11" t="s">
        <v>21</v>
      </c>
      <c r="C20" s="10" t="s">
        <v>76</v>
      </c>
      <c r="D20" s="10">
        <v>1</v>
      </c>
      <c r="E20" s="10">
        <v>6</v>
      </c>
      <c r="F20" s="12">
        <v>6</v>
      </c>
      <c r="G20" s="13" t="s">
        <v>87</v>
      </c>
      <c r="H20" s="14" t="s">
        <v>88</v>
      </c>
    </row>
    <row r="21" spans="1:8" ht="78.45" customHeight="1" x14ac:dyDescent="0.3">
      <c r="A21" s="10" t="s">
        <v>7</v>
      </c>
      <c r="B21" s="11" t="s">
        <v>25</v>
      </c>
      <c r="C21" s="10" t="s">
        <v>89</v>
      </c>
      <c r="D21" s="10">
        <v>19</v>
      </c>
      <c r="E21" s="10">
        <v>490</v>
      </c>
      <c r="F21" s="12">
        <v>25.8</v>
      </c>
      <c r="G21" s="13" t="s">
        <v>50</v>
      </c>
      <c r="H21" s="14" t="s">
        <v>90</v>
      </c>
    </row>
    <row r="22" spans="1:8" ht="93" customHeight="1" x14ac:dyDescent="0.3">
      <c r="A22" s="10" t="s">
        <v>7</v>
      </c>
      <c r="B22" s="11" t="s">
        <v>25</v>
      </c>
      <c r="C22" s="10" t="s">
        <v>89</v>
      </c>
      <c r="D22" s="10">
        <v>5</v>
      </c>
      <c r="E22" s="10">
        <v>82</v>
      </c>
      <c r="F22" s="12">
        <v>16.399999999999999</v>
      </c>
      <c r="G22" s="13" t="s">
        <v>91</v>
      </c>
      <c r="H22" s="14" t="s">
        <v>92</v>
      </c>
    </row>
    <row r="23" spans="1:8" ht="93" customHeight="1" x14ac:dyDescent="0.3">
      <c r="A23" s="10" t="s">
        <v>7</v>
      </c>
      <c r="B23" s="11" t="s">
        <v>25</v>
      </c>
      <c r="C23" s="10" t="s">
        <v>89</v>
      </c>
      <c r="D23" s="10">
        <v>1</v>
      </c>
      <c r="E23" s="10">
        <v>15</v>
      </c>
      <c r="F23" s="12">
        <v>15</v>
      </c>
      <c r="G23" s="13" t="s">
        <v>93</v>
      </c>
      <c r="H23" s="14" t="s">
        <v>94</v>
      </c>
    </row>
    <row r="24" spans="1:8" ht="165.45" customHeight="1" x14ac:dyDescent="0.3">
      <c r="A24" s="10" t="s">
        <v>7</v>
      </c>
      <c r="B24" s="11" t="s">
        <v>95</v>
      </c>
      <c r="C24" s="10" t="s">
        <v>96</v>
      </c>
      <c r="D24" s="10">
        <v>16</v>
      </c>
      <c r="E24" s="10">
        <v>512</v>
      </c>
      <c r="F24" s="12">
        <v>32</v>
      </c>
      <c r="G24" s="13" t="s">
        <v>97</v>
      </c>
      <c r="H24" s="14" t="s">
        <v>98</v>
      </c>
    </row>
    <row r="25" spans="1:8" ht="64.05" customHeight="1" x14ac:dyDescent="0.3">
      <c r="A25" s="10" t="s">
        <v>7</v>
      </c>
      <c r="B25" s="11" t="s">
        <v>99</v>
      </c>
      <c r="C25" s="10" t="s">
        <v>100</v>
      </c>
      <c r="D25" s="10">
        <v>10</v>
      </c>
      <c r="E25" s="10">
        <v>156</v>
      </c>
      <c r="F25" s="12">
        <v>15.6</v>
      </c>
      <c r="G25" s="13" t="s">
        <v>101</v>
      </c>
      <c r="H25" s="14" t="s">
        <v>102</v>
      </c>
    </row>
    <row r="26" spans="1:8" ht="49.5" customHeight="1" x14ac:dyDescent="0.3">
      <c r="A26" s="10" t="s">
        <v>7</v>
      </c>
      <c r="B26" s="11" t="s">
        <v>99</v>
      </c>
      <c r="C26" s="10" t="s">
        <v>100</v>
      </c>
      <c r="D26" s="10">
        <v>3</v>
      </c>
      <c r="E26" s="10">
        <v>145</v>
      </c>
      <c r="F26" s="12">
        <v>48.3</v>
      </c>
      <c r="G26" s="13" t="s">
        <v>103</v>
      </c>
      <c r="H26" s="14" t="s">
        <v>104</v>
      </c>
    </row>
    <row r="27" spans="1:8" ht="49.5" customHeight="1" x14ac:dyDescent="0.3">
      <c r="A27" s="10" t="s">
        <v>7</v>
      </c>
      <c r="B27" s="11" t="s">
        <v>99</v>
      </c>
      <c r="C27" s="10" t="s">
        <v>100</v>
      </c>
      <c r="D27" s="10">
        <v>2</v>
      </c>
      <c r="E27" s="10">
        <v>120</v>
      </c>
      <c r="F27" s="12">
        <v>60</v>
      </c>
      <c r="G27" s="13" t="s">
        <v>105</v>
      </c>
      <c r="H27" s="14" t="s">
        <v>106</v>
      </c>
    </row>
    <row r="28" spans="1:8" ht="64.05" customHeight="1" x14ac:dyDescent="0.3">
      <c r="A28" s="10" t="s">
        <v>7</v>
      </c>
      <c r="B28" s="11" t="s">
        <v>23</v>
      </c>
      <c r="C28" s="10" t="s">
        <v>107</v>
      </c>
      <c r="D28" s="10">
        <v>2</v>
      </c>
      <c r="E28" s="10">
        <v>200</v>
      </c>
      <c r="F28" s="12">
        <v>100</v>
      </c>
      <c r="G28" s="13" t="s">
        <v>41</v>
      </c>
      <c r="H28" s="14" t="s">
        <v>108</v>
      </c>
    </row>
    <row r="29" spans="1:8" ht="64.05" customHeight="1" x14ac:dyDescent="0.3">
      <c r="A29" s="10" t="s">
        <v>7</v>
      </c>
      <c r="B29" s="11" t="s">
        <v>23</v>
      </c>
      <c r="C29" s="10" t="s">
        <v>107</v>
      </c>
      <c r="D29" s="10">
        <v>3</v>
      </c>
      <c r="E29" s="10">
        <v>135</v>
      </c>
      <c r="F29" s="12">
        <v>45</v>
      </c>
      <c r="G29" s="13" t="s">
        <v>43</v>
      </c>
      <c r="H29" s="14" t="s">
        <v>108</v>
      </c>
    </row>
    <row r="30" spans="1:8" ht="64.05" customHeight="1" x14ac:dyDescent="0.3">
      <c r="A30" s="10" t="s">
        <v>7</v>
      </c>
      <c r="B30" s="11" t="s">
        <v>26</v>
      </c>
      <c r="C30" s="10" t="s">
        <v>109</v>
      </c>
      <c r="D30" s="10">
        <v>5</v>
      </c>
      <c r="E30" s="10">
        <v>139</v>
      </c>
      <c r="F30" s="12">
        <v>27.8</v>
      </c>
      <c r="G30" s="13" t="s">
        <v>110</v>
      </c>
      <c r="H30" s="14" t="s">
        <v>111</v>
      </c>
    </row>
    <row r="31" spans="1:8" ht="64.05" customHeight="1" x14ac:dyDescent="0.3">
      <c r="A31" s="10" t="s">
        <v>7</v>
      </c>
      <c r="B31" s="11" t="s">
        <v>26</v>
      </c>
      <c r="C31" s="10" t="s">
        <v>109</v>
      </c>
      <c r="D31" s="10">
        <v>1</v>
      </c>
      <c r="E31" s="10">
        <v>60</v>
      </c>
      <c r="F31" s="12">
        <v>60</v>
      </c>
      <c r="G31" s="13" t="s">
        <v>112</v>
      </c>
      <c r="H31" s="14" t="s">
        <v>113</v>
      </c>
    </row>
    <row r="32" spans="1:8" ht="64.05" customHeight="1" x14ac:dyDescent="0.3">
      <c r="A32" s="10" t="s">
        <v>7</v>
      </c>
      <c r="B32" s="11" t="s">
        <v>26</v>
      </c>
      <c r="C32" s="10" t="s">
        <v>109</v>
      </c>
      <c r="D32" s="10">
        <v>1</v>
      </c>
      <c r="E32" s="10">
        <v>50</v>
      </c>
      <c r="F32" s="12">
        <v>50</v>
      </c>
      <c r="G32" s="13" t="s">
        <v>114</v>
      </c>
      <c r="H32" s="14" t="s">
        <v>115</v>
      </c>
    </row>
    <row r="33" spans="1:8" ht="78.45" customHeight="1" x14ac:dyDescent="0.3">
      <c r="A33" s="10" t="s">
        <v>7</v>
      </c>
      <c r="B33" s="11" t="s">
        <v>116</v>
      </c>
      <c r="C33" s="10" t="s">
        <v>117</v>
      </c>
      <c r="D33" s="10">
        <v>3</v>
      </c>
      <c r="E33" s="10">
        <v>105</v>
      </c>
      <c r="F33" s="12">
        <v>35</v>
      </c>
      <c r="G33" s="13" t="s">
        <v>118</v>
      </c>
      <c r="H33" s="14" t="s">
        <v>119</v>
      </c>
    </row>
    <row r="34" spans="1:8" ht="165.45" customHeight="1" x14ac:dyDescent="0.3">
      <c r="A34" s="10" t="s">
        <v>7</v>
      </c>
      <c r="B34" s="11" t="s">
        <v>28</v>
      </c>
      <c r="C34" s="10" t="s">
        <v>120</v>
      </c>
      <c r="D34" s="10">
        <v>7</v>
      </c>
      <c r="E34" s="10">
        <v>82</v>
      </c>
      <c r="F34" s="12">
        <v>11.7</v>
      </c>
      <c r="G34" s="13" t="s">
        <v>39</v>
      </c>
      <c r="H34" s="14" t="s">
        <v>98</v>
      </c>
    </row>
    <row r="35" spans="1:8" ht="49.5" customHeight="1" x14ac:dyDescent="0.3">
      <c r="A35" s="10" t="s">
        <v>7</v>
      </c>
      <c r="B35" s="11" t="s">
        <v>28</v>
      </c>
      <c r="C35" s="10" t="s">
        <v>120</v>
      </c>
      <c r="D35" s="10">
        <v>1</v>
      </c>
      <c r="E35" s="10">
        <v>13</v>
      </c>
      <c r="F35" s="12">
        <v>13</v>
      </c>
      <c r="G35" s="13" t="s">
        <v>121</v>
      </c>
      <c r="H35" s="14" t="s">
        <v>122</v>
      </c>
    </row>
    <row r="36" spans="1:8" ht="107.55" customHeight="1" x14ac:dyDescent="0.3">
      <c r="A36" s="10" t="s">
        <v>7</v>
      </c>
      <c r="B36" s="11" t="s">
        <v>22</v>
      </c>
      <c r="C36" s="10" t="s">
        <v>123</v>
      </c>
      <c r="D36" s="10">
        <v>3</v>
      </c>
      <c r="E36" s="10">
        <v>56</v>
      </c>
      <c r="F36" s="12">
        <v>18.7</v>
      </c>
      <c r="G36" s="13" t="s">
        <v>124</v>
      </c>
      <c r="H36" s="14" t="s">
        <v>125</v>
      </c>
    </row>
    <row r="37" spans="1:8" ht="64.05" customHeight="1" x14ac:dyDescent="0.3">
      <c r="A37" s="10" t="s">
        <v>7</v>
      </c>
      <c r="B37" s="11" t="s">
        <v>22</v>
      </c>
      <c r="C37" s="10" t="s">
        <v>123</v>
      </c>
      <c r="D37" s="10">
        <v>1</v>
      </c>
      <c r="E37" s="10">
        <v>37</v>
      </c>
      <c r="F37" s="12">
        <v>37</v>
      </c>
      <c r="G37" s="13" t="s">
        <v>126</v>
      </c>
      <c r="H37" s="14" t="s">
        <v>127</v>
      </c>
    </row>
    <row r="38" spans="1:8" ht="64.05" customHeight="1" x14ac:dyDescent="0.3">
      <c r="A38" s="10" t="s">
        <v>7</v>
      </c>
      <c r="B38" s="11" t="s">
        <v>128</v>
      </c>
      <c r="C38" s="10" t="s">
        <v>129</v>
      </c>
      <c r="D38" s="10">
        <v>2</v>
      </c>
      <c r="E38" s="10">
        <v>75</v>
      </c>
      <c r="F38" s="12">
        <v>37.5</v>
      </c>
      <c r="G38" s="13" t="s">
        <v>130</v>
      </c>
      <c r="H38" s="14" t="s">
        <v>131</v>
      </c>
    </row>
    <row r="39" spans="1:8" ht="49.2" customHeight="1" x14ac:dyDescent="0.3">
      <c r="A39" s="10" t="s">
        <v>7</v>
      </c>
      <c r="B39" s="11" t="s">
        <v>128</v>
      </c>
      <c r="C39" s="10" t="s">
        <v>129</v>
      </c>
      <c r="D39" s="10">
        <v>1</v>
      </c>
      <c r="E39" s="10">
        <v>17</v>
      </c>
      <c r="F39" s="12">
        <v>17</v>
      </c>
      <c r="G39" s="13" t="s">
        <v>132</v>
      </c>
      <c r="H39" s="14" t="s">
        <v>133</v>
      </c>
    </row>
    <row r="40" spans="1:8" ht="78.45" customHeight="1" x14ac:dyDescent="0.3">
      <c r="A40" s="10" t="s">
        <v>7</v>
      </c>
      <c r="B40" s="11" t="s">
        <v>20</v>
      </c>
      <c r="C40" s="10" t="s">
        <v>134</v>
      </c>
      <c r="D40" s="10">
        <v>4</v>
      </c>
      <c r="E40" s="10">
        <v>62</v>
      </c>
      <c r="F40" s="12">
        <v>15.5</v>
      </c>
      <c r="G40" s="13" t="s">
        <v>35</v>
      </c>
      <c r="H40" s="14" t="s">
        <v>135</v>
      </c>
    </row>
    <row r="41" spans="1:8" ht="49.5" customHeight="1" x14ac:dyDescent="0.3">
      <c r="A41" s="10" t="s">
        <v>7</v>
      </c>
      <c r="B41" s="11" t="s">
        <v>20</v>
      </c>
      <c r="C41" s="10" t="s">
        <v>134</v>
      </c>
      <c r="D41" s="10">
        <v>1</v>
      </c>
      <c r="E41" s="10">
        <v>30</v>
      </c>
      <c r="F41" s="12">
        <v>30</v>
      </c>
      <c r="G41" s="13" t="s">
        <v>136</v>
      </c>
      <c r="H41" s="14" t="s">
        <v>137</v>
      </c>
    </row>
    <row r="42" spans="1:8" ht="78.45" customHeight="1" x14ac:dyDescent="0.3">
      <c r="A42" s="10" t="s">
        <v>7</v>
      </c>
      <c r="B42" s="11" t="s">
        <v>138</v>
      </c>
      <c r="C42" s="10" t="s">
        <v>139</v>
      </c>
      <c r="D42" s="10">
        <v>3</v>
      </c>
      <c r="E42" s="10">
        <v>43</v>
      </c>
      <c r="F42" s="12">
        <v>14.3</v>
      </c>
      <c r="G42" s="13" t="s">
        <v>140</v>
      </c>
      <c r="H42" s="14" t="s">
        <v>141</v>
      </c>
    </row>
    <row r="43" spans="1:8" ht="49.5" customHeight="1" x14ac:dyDescent="0.3">
      <c r="A43" s="10" t="s">
        <v>7</v>
      </c>
      <c r="B43" s="11" t="s">
        <v>138</v>
      </c>
      <c r="C43" s="10" t="s">
        <v>139</v>
      </c>
      <c r="D43" s="10">
        <v>1</v>
      </c>
      <c r="E43" s="10">
        <v>40</v>
      </c>
      <c r="F43" s="12">
        <v>40</v>
      </c>
      <c r="G43" s="13" t="s">
        <v>142</v>
      </c>
      <c r="H43" s="14" t="s">
        <v>143</v>
      </c>
    </row>
    <row r="44" spans="1:8" ht="64.05" customHeight="1" x14ac:dyDescent="0.3">
      <c r="A44" s="10" t="s">
        <v>7</v>
      </c>
      <c r="B44" s="11" t="s">
        <v>144</v>
      </c>
      <c r="C44" s="10" t="s">
        <v>145</v>
      </c>
      <c r="D44" s="10">
        <v>5</v>
      </c>
      <c r="E44" s="10">
        <v>78</v>
      </c>
      <c r="F44" s="12">
        <v>15.6</v>
      </c>
      <c r="G44" s="13" t="s">
        <v>146</v>
      </c>
      <c r="H44" s="14" t="s">
        <v>147</v>
      </c>
    </row>
    <row r="45" spans="1:8" ht="34.950000000000003" customHeight="1" x14ac:dyDescent="0.3">
      <c r="A45" s="10" t="s">
        <v>7</v>
      </c>
      <c r="B45" s="11" t="s">
        <v>148</v>
      </c>
      <c r="C45" s="10" t="s">
        <v>149</v>
      </c>
      <c r="D45" s="10">
        <v>2</v>
      </c>
      <c r="E45" s="10">
        <v>52</v>
      </c>
      <c r="F45" s="12">
        <v>26</v>
      </c>
      <c r="G45" s="13" t="s">
        <v>150</v>
      </c>
      <c r="H45" s="14" t="s">
        <v>151</v>
      </c>
    </row>
    <row r="46" spans="1:8" ht="49.5" customHeight="1" x14ac:dyDescent="0.3">
      <c r="A46" s="10" t="s">
        <v>7</v>
      </c>
      <c r="B46" s="11" t="s">
        <v>148</v>
      </c>
      <c r="C46" s="10" t="s">
        <v>149</v>
      </c>
      <c r="D46" s="10">
        <v>1</v>
      </c>
      <c r="E46" s="10">
        <v>10</v>
      </c>
      <c r="F46" s="12">
        <v>10</v>
      </c>
      <c r="G46" s="13" t="s">
        <v>152</v>
      </c>
      <c r="H46" s="14" t="s">
        <v>153</v>
      </c>
    </row>
    <row r="47" spans="1:8" ht="64.05" customHeight="1" x14ac:dyDescent="0.3">
      <c r="A47" s="10" t="s">
        <v>7</v>
      </c>
      <c r="B47" s="11" t="s">
        <v>154</v>
      </c>
      <c r="C47" s="10" t="s">
        <v>155</v>
      </c>
      <c r="D47" s="10">
        <v>2</v>
      </c>
      <c r="E47" s="10">
        <v>27</v>
      </c>
      <c r="F47" s="12">
        <v>13.5</v>
      </c>
      <c r="G47" s="13" t="s">
        <v>156</v>
      </c>
      <c r="H47" s="14" t="s">
        <v>157</v>
      </c>
    </row>
    <row r="48" spans="1:8" ht="49.5" customHeight="1" x14ac:dyDescent="0.3">
      <c r="A48" s="10" t="s">
        <v>7</v>
      </c>
      <c r="B48" s="11" t="s">
        <v>154</v>
      </c>
      <c r="C48" s="10" t="s">
        <v>155</v>
      </c>
      <c r="D48" s="10">
        <v>2</v>
      </c>
      <c r="E48" s="10">
        <v>18</v>
      </c>
      <c r="F48" s="12">
        <v>9</v>
      </c>
      <c r="G48" s="13" t="s">
        <v>158</v>
      </c>
      <c r="H48" s="14" t="s">
        <v>159</v>
      </c>
    </row>
    <row r="49" spans="1:8" ht="49.5" customHeight="1" x14ac:dyDescent="0.3">
      <c r="A49" s="10" t="s">
        <v>7</v>
      </c>
      <c r="B49" s="11" t="s">
        <v>154</v>
      </c>
      <c r="C49" s="10" t="s">
        <v>155</v>
      </c>
      <c r="D49" s="10">
        <v>2</v>
      </c>
      <c r="E49" s="10">
        <v>15</v>
      </c>
      <c r="F49" s="12">
        <v>7.5</v>
      </c>
      <c r="G49" s="13" t="s">
        <v>160</v>
      </c>
      <c r="H49" s="14" t="s">
        <v>161</v>
      </c>
    </row>
    <row r="50" spans="1:8" ht="64.05" customHeight="1" x14ac:dyDescent="0.3">
      <c r="A50" s="10" t="s">
        <v>7</v>
      </c>
      <c r="B50" s="11" t="s">
        <v>162</v>
      </c>
      <c r="C50" s="10" t="s">
        <v>163</v>
      </c>
      <c r="D50" s="10">
        <v>4</v>
      </c>
      <c r="E50" s="10">
        <v>53</v>
      </c>
      <c r="F50" s="12">
        <v>13.2</v>
      </c>
      <c r="G50" s="13" t="s">
        <v>164</v>
      </c>
      <c r="H50" s="14" t="s">
        <v>165</v>
      </c>
    </row>
    <row r="51" spans="1:8" ht="64.05" customHeight="1" x14ac:dyDescent="0.3">
      <c r="A51" s="10" t="s">
        <v>7</v>
      </c>
      <c r="B51" s="11" t="s">
        <v>162</v>
      </c>
      <c r="C51" s="10" t="s">
        <v>163</v>
      </c>
      <c r="D51" s="10">
        <v>1</v>
      </c>
      <c r="E51" s="10">
        <v>4</v>
      </c>
      <c r="F51" s="12">
        <v>4</v>
      </c>
      <c r="G51" s="13" t="s">
        <v>166</v>
      </c>
      <c r="H51" s="14" t="s">
        <v>167</v>
      </c>
    </row>
    <row r="52" spans="1:8" ht="49.5" customHeight="1" x14ac:dyDescent="0.3">
      <c r="A52" s="10" t="s">
        <v>7</v>
      </c>
      <c r="B52" s="11" t="s">
        <v>168</v>
      </c>
      <c r="C52" s="10" t="s">
        <v>169</v>
      </c>
      <c r="D52" s="10">
        <v>1</v>
      </c>
      <c r="E52" s="10">
        <v>57</v>
      </c>
      <c r="F52" s="12">
        <v>57</v>
      </c>
      <c r="G52" s="13" t="s">
        <v>170</v>
      </c>
      <c r="H52" s="14" t="s">
        <v>171</v>
      </c>
    </row>
    <row r="53" spans="1:8" ht="64.05" customHeight="1" x14ac:dyDescent="0.3">
      <c r="A53" s="10" t="s">
        <v>7</v>
      </c>
      <c r="B53" s="11" t="s">
        <v>172</v>
      </c>
      <c r="C53" s="10" t="s">
        <v>173</v>
      </c>
      <c r="D53" s="10">
        <v>1</v>
      </c>
      <c r="E53" s="10">
        <v>52</v>
      </c>
      <c r="F53" s="12">
        <v>52</v>
      </c>
      <c r="G53" s="13" t="s">
        <v>174</v>
      </c>
      <c r="H53" s="14" t="s">
        <v>175</v>
      </c>
    </row>
    <row r="54" spans="1:8" ht="49.5" customHeight="1" x14ac:dyDescent="0.3">
      <c r="A54" s="10" t="s">
        <v>7</v>
      </c>
      <c r="B54" s="11" t="s">
        <v>176</v>
      </c>
      <c r="C54" s="10" t="s">
        <v>177</v>
      </c>
      <c r="D54" s="10">
        <v>1</v>
      </c>
      <c r="E54" s="10">
        <v>43</v>
      </c>
      <c r="F54" s="12">
        <v>43</v>
      </c>
      <c r="G54" s="13" t="s">
        <v>178</v>
      </c>
      <c r="H54" s="14" t="s">
        <v>179</v>
      </c>
    </row>
    <row r="55" spans="1:8" ht="49.5" customHeight="1" x14ac:dyDescent="0.3">
      <c r="A55" s="10" t="s">
        <v>7</v>
      </c>
      <c r="B55" s="11" t="s">
        <v>180</v>
      </c>
      <c r="C55" s="10" t="s">
        <v>181</v>
      </c>
      <c r="D55" s="10">
        <v>1</v>
      </c>
      <c r="E55" s="10">
        <v>20</v>
      </c>
      <c r="F55" s="12">
        <v>20</v>
      </c>
      <c r="G55" s="13" t="s">
        <v>182</v>
      </c>
      <c r="H55" s="14" t="s">
        <v>183</v>
      </c>
    </row>
    <row r="56" spans="1:8" ht="49.5" customHeight="1" x14ac:dyDescent="0.3">
      <c r="A56" s="10" t="s">
        <v>7</v>
      </c>
      <c r="B56" s="11" t="s">
        <v>180</v>
      </c>
      <c r="C56" s="10" t="s">
        <v>181</v>
      </c>
      <c r="D56" s="10">
        <v>1</v>
      </c>
      <c r="E56" s="10">
        <v>20</v>
      </c>
      <c r="F56" s="12">
        <v>20</v>
      </c>
      <c r="G56" s="13" t="s">
        <v>184</v>
      </c>
      <c r="H56" s="14" t="s">
        <v>185</v>
      </c>
    </row>
    <row r="57" spans="1:8" ht="49.5" customHeight="1" x14ac:dyDescent="0.3">
      <c r="A57" s="10" t="s">
        <v>7</v>
      </c>
      <c r="B57" s="11" t="s">
        <v>186</v>
      </c>
      <c r="C57" s="10" t="s">
        <v>187</v>
      </c>
      <c r="D57" s="10">
        <v>1</v>
      </c>
      <c r="E57" s="10">
        <v>20</v>
      </c>
      <c r="F57" s="12">
        <v>20</v>
      </c>
      <c r="G57" s="13" t="s">
        <v>188</v>
      </c>
      <c r="H57" s="14" t="s">
        <v>189</v>
      </c>
    </row>
    <row r="58" spans="1:8" ht="49.5" customHeight="1" x14ac:dyDescent="0.3">
      <c r="A58" s="10" t="s">
        <v>7</v>
      </c>
      <c r="B58" s="11" t="s">
        <v>186</v>
      </c>
      <c r="C58" s="10" t="s">
        <v>187</v>
      </c>
      <c r="D58" s="10">
        <v>1</v>
      </c>
      <c r="E58" s="10">
        <v>10</v>
      </c>
      <c r="F58" s="12">
        <v>10</v>
      </c>
      <c r="G58" s="13" t="s">
        <v>190</v>
      </c>
      <c r="H58" s="14" t="s">
        <v>191</v>
      </c>
    </row>
    <row r="59" spans="1:8" ht="64.05" customHeight="1" x14ac:dyDescent="0.3">
      <c r="A59" s="10" t="s">
        <v>7</v>
      </c>
      <c r="B59" s="11" t="s">
        <v>192</v>
      </c>
      <c r="C59" s="10" t="s">
        <v>193</v>
      </c>
      <c r="D59" s="10">
        <v>1</v>
      </c>
      <c r="E59" s="10">
        <v>30</v>
      </c>
      <c r="F59" s="12">
        <v>30</v>
      </c>
      <c r="G59" s="13" t="s">
        <v>194</v>
      </c>
      <c r="H59" s="14" t="s">
        <v>195</v>
      </c>
    </row>
    <row r="60" spans="1:8" ht="49.5" customHeight="1" x14ac:dyDescent="0.3">
      <c r="A60" s="10" t="s">
        <v>7</v>
      </c>
      <c r="B60" s="11" t="s">
        <v>196</v>
      </c>
      <c r="C60" s="10" t="s">
        <v>197</v>
      </c>
      <c r="D60" s="10">
        <v>1</v>
      </c>
      <c r="E60" s="10">
        <v>30</v>
      </c>
      <c r="F60" s="12">
        <v>30</v>
      </c>
      <c r="G60" s="13" t="s">
        <v>198</v>
      </c>
      <c r="H60" s="14" t="s">
        <v>171</v>
      </c>
    </row>
    <row r="61" spans="1:8" ht="49.5" customHeight="1" x14ac:dyDescent="0.3">
      <c r="A61" s="10" t="s">
        <v>7</v>
      </c>
      <c r="B61" s="11" t="s">
        <v>199</v>
      </c>
      <c r="C61" s="10" t="s">
        <v>200</v>
      </c>
      <c r="D61" s="10">
        <v>1</v>
      </c>
      <c r="E61" s="10">
        <v>10</v>
      </c>
      <c r="F61" s="12">
        <v>10</v>
      </c>
      <c r="G61" s="13" t="s">
        <v>201</v>
      </c>
      <c r="H61" s="14" t="s">
        <v>202</v>
      </c>
    </row>
    <row r="62" spans="1:8" ht="49.5" customHeight="1" x14ac:dyDescent="0.3">
      <c r="A62" s="10" t="s">
        <v>7</v>
      </c>
      <c r="B62" s="11" t="s">
        <v>199</v>
      </c>
      <c r="C62" s="10" t="s">
        <v>200</v>
      </c>
      <c r="D62" s="10">
        <v>1</v>
      </c>
      <c r="E62" s="10">
        <v>6</v>
      </c>
      <c r="F62" s="12">
        <v>6</v>
      </c>
      <c r="G62" s="13" t="s">
        <v>203</v>
      </c>
      <c r="H62" s="14" t="s">
        <v>204</v>
      </c>
    </row>
    <row r="63" spans="1:8" ht="49.5" customHeight="1" x14ac:dyDescent="0.3">
      <c r="A63" s="10" t="s">
        <v>7</v>
      </c>
      <c r="B63" s="11" t="s">
        <v>205</v>
      </c>
      <c r="C63" s="10" t="s">
        <v>206</v>
      </c>
      <c r="D63" s="10">
        <v>1</v>
      </c>
      <c r="E63" s="10">
        <v>12</v>
      </c>
      <c r="F63" s="12">
        <v>12</v>
      </c>
      <c r="G63" s="13" t="s">
        <v>207</v>
      </c>
      <c r="H63" s="14" t="s">
        <v>208</v>
      </c>
    </row>
    <row r="64" spans="1:8" ht="49.5" customHeight="1" x14ac:dyDescent="0.3">
      <c r="A64" s="10" t="s">
        <v>7</v>
      </c>
      <c r="B64" s="11" t="s">
        <v>209</v>
      </c>
      <c r="C64" s="10" t="s">
        <v>210</v>
      </c>
      <c r="D64" s="10">
        <v>1</v>
      </c>
      <c r="E64" s="10">
        <v>11</v>
      </c>
      <c r="F64" s="12">
        <v>11</v>
      </c>
      <c r="G64" s="13" t="s">
        <v>211</v>
      </c>
      <c r="H64" s="14" t="s">
        <v>212</v>
      </c>
    </row>
    <row r="65" spans="1:8" ht="49.5" customHeight="1" x14ac:dyDescent="0.3">
      <c r="A65" s="10" t="s">
        <v>7</v>
      </c>
      <c r="B65" s="11" t="s">
        <v>213</v>
      </c>
      <c r="C65" s="10" t="s">
        <v>214</v>
      </c>
      <c r="D65" s="10">
        <v>1</v>
      </c>
      <c r="E65" s="10">
        <v>6</v>
      </c>
      <c r="F65" s="12">
        <v>6</v>
      </c>
      <c r="G65" s="13" t="s">
        <v>215</v>
      </c>
      <c r="H65" s="14" t="s">
        <v>216</v>
      </c>
    </row>
  </sheetData>
  <autoFilter ref="A4:H65" xr:uid="{00000000-0009-0000-0000-000003000000}"/>
  <mergeCells count="1">
    <mergeCell ref="A2:H2"/>
  </mergeCell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9"/>
  <sheetViews>
    <sheetView tabSelected="1" workbookViewId="0">
      <pane ySplit="4" topLeftCell="A5" activePane="bottomLeft" state="frozen"/>
      <selection pane="bottomLeft"/>
    </sheetView>
  </sheetViews>
  <sheetFormatPr baseColWidth="10" defaultColWidth="8.88671875" defaultRowHeight="14.4" x14ac:dyDescent="0.3"/>
  <cols>
    <col min="1" max="1" width="11" customWidth="1"/>
    <col min="2" max="2" width="28" customWidth="1"/>
    <col min="3" max="3" width="13" customWidth="1"/>
    <col min="4" max="4" width="10" customWidth="1"/>
    <col min="5" max="6" width="12" customWidth="1"/>
    <col min="7" max="7" width="30" customWidth="1"/>
    <col min="8" max="8" width="80" customWidth="1"/>
  </cols>
  <sheetData>
    <row r="1" spans="1:8" ht="18" x14ac:dyDescent="0.35">
      <c r="A1" s="1" t="s">
        <v>349</v>
      </c>
    </row>
    <row r="2" spans="1:8" ht="34.049999999999997" customHeight="1" x14ac:dyDescent="0.3">
      <c r="A2" s="21" t="s">
        <v>52</v>
      </c>
      <c r="B2" s="22"/>
      <c r="C2" s="22"/>
      <c r="D2" s="22"/>
      <c r="E2" s="22"/>
      <c r="F2" s="22"/>
      <c r="G2" s="22"/>
      <c r="H2" s="22"/>
    </row>
    <row r="4" spans="1:8" ht="48" customHeight="1" x14ac:dyDescent="0.3">
      <c r="A4" s="2" t="s">
        <v>0</v>
      </c>
      <c r="B4" s="2" t="s">
        <v>16</v>
      </c>
      <c r="C4" s="2" t="s">
        <v>53</v>
      </c>
      <c r="D4" s="2" t="s">
        <v>2</v>
      </c>
      <c r="E4" s="2" t="s">
        <v>3</v>
      </c>
      <c r="F4" s="2" t="s">
        <v>54</v>
      </c>
      <c r="G4" s="2" t="s">
        <v>31</v>
      </c>
      <c r="H4" s="2" t="s">
        <v>55</v>
      </c>
    </row>
    <row r="5" spans="1:8" ht="78.45" customHeight="1" x14ac:dyDescent="0.3">
      <c r="A5" s="15" t="s">
        <v>9</v>
      </c>
      <c r="B5" s="16" t="s">
        <v>20</v>
      </c>
      <c r="C5" s="15" t="s">
        <v>217</v>
      </c>
      <c r="D5" s="15">
        <v>31</v>
      </c>
      <c r="E5" s="15">
        <v>803</v>
      </c>
      <c r="F5" s="17">
        <v>25.9</v>
      </c>
      <c r="G5" s="13" t="s">
        <v>35</v>
      </c>
      <c r="H5" s="14" t="s">
        <v>135</v>
      </c>
    </row>
    <row r="6" spans="1:8" ht="78.45" customHeight="1" x14ac:dyDescent="0.3">
      <c r="A6" s="15" t="s">
        <v>9</v>
      </c>
      <c r="B6" s="16" t="s">
        <v>20</v>
      </c>
      <c r="C6" s="15" t="s">
        <v>217</v>
      </c>
      <c r="D6" s="15">
        <v>11</v>
      </c>
      <c r="E6" s="15">
        <v>744</v>
      </c>
      <c r="F6" s="17">
        <v>67.599999999999994</v>
      </c>
      <c r="G6" s="13" t="s">
        <v>218</v>
      </c>
      <c r="H6" s="14" t="s">
        <v>219</v>
      </c>
    </row>
    <row r="7" spans="1:8" ht="64.05" customHeight="1" x14ac:dyDescent="0.3">
      <c r="A7" s="15" t="s">
        <v>9</v>
      </c>
      <c r="B7" s="16" t="s">
        <v>20</v>
      </c>
      <c r="C7" s="15" t="s">
        <v>217</v>
      </c>
      <c r="D7" s="15">
        <v>2</v>
      </c>
      <c r="E7" s="15">
        <v>104</v>
      </c>
      <c r="F7" s="17">
        <v>52</v>
      </c>
      <c r="G7" s="13" t="s">
        <v>220</v>
      </c>
      <c r="H7" s="14" t="s">
        <v>221</v>
      </c>
    </row>
    <row r="8" spans="1:8" ht="49.5" customHeight="1" x14ac:dyDescent="0.3">
      <c r="A8" s="15" t="s">
        <v>9</v>
      </c>
      <c r="B8" s="16" t="s">
        <v>20</v>
      </c>
      <c r="C8" s="15" t="s">
        <v>217</v>
      </c>
      <c r="D8" s="15">
        <v>4</v>
      </c>
      <c r="E8" s="15">
        <v>39</v>
      </c>
      <c r="F8" s="17">
        <v>9.8000000000000007</v>
      </c>
      <c r="G8" s="13" t="s">
        <v>222</v>
      </c>
      <c r="H8" s="14" t="s">
        <v>223</v>
      </c>
    </row>
    <row r="9" spans="1:8" ht="78.45" customHeight="1" x14ac:dyDescent="0.3">
      <c r="A9" s="15" t="s">
        <v>9</v>
      </c>
      <c r="B9" s="16" t="s">
        <v>21</v>
      </c>
      <c r="C9" s="15" t="s">
        <v>224</v>
      </c>
      <c r="D9" s="15">
        <v>16</v>
      </c>
      <c r="E9" s="15">
        <v>690</v>
      </c>
      <c r="F9" s="17">
        <v>43.1</v>
      </c>
      <c r="G9" s="13" t="s">
        <v>77</v>
      </c>
      <c r="H9" s="14" t="s">
        <v>78</v>
      </c>
    </row>
    <row r="10" spans="1:8" ht="78.45" customHeight="1" x14ac:dyDescent="0.3">
      <c r="A10" s="15" t="s">
        <v>9</v>
      </c>
      <c r="B10" s="16" t="s">
        <v>21</v>
      </c>
      <c r="C10" s="15" t="s">
        <v>224</v>
      </c>
      <c r="D10" s="15">
        <v>6</v>
      </c>
      <c r="E10" s="15">
        <v>474</v>
      </c>
      <c r="F10" s="17">
        <v>79</v>
      </c>
      <c r="G10" s="13" t="s">
        <v>87</v>
      </c>
      <c r="H10" s="14" t="s">
        <v>88</v>
      </c>
    </row>
    <row r="11" spans="1:8" ht="64.05" customHeight="1" x14ac:dyDescent="0.3">
      <c r="A11" s="15" t="s">
        <v>9</v>
      </c>
      <c r="B11" s="16" t="s">
        <v>21</v>
      </c>
      <c r="C11" s="15" t="s">
        <v>224</v>
      </c>
      <c r="D11" s="15">
        <v>4</v>
      </c>
      <c r="E11" s="15">
        <v>150</v>
      </c>
      <c r="F11" s="17">
        <v>37.5</v>
      </c>
      <c r="G11" s="13" t="s">
        <v>225</v>
      </c>
      <c r="H11" s="14" t="s">
        <v>226</v>
      </c>
    </row>
    <row r="12" spans="1:8" ht="49.5" customHeight="1" x14ac:dyDescent="0.3">
      <c r="A12" s="15" t="s">
        <v>9</v>
      </c>
      <c r="B12" s="16" t="s">
        <v>21</v>
      </c>
      <c r="C12" s="15" t="s">
        <v>224</v>
      </c>
      <c r="D12" s="15">
        <v>1</v>
      </c>
      <c r="E12" s="15">
        <v>40</v>
      </c>
      <c r="F12" s="17">
        <v>40</v>
      </c>
      <c r="G12" s="13" t="s">
        <v>81</v>
      </c>
      <c r="H12" s="14" t="s">
        <v>82</v>
      </c>
    </row>
    <row r="13" spans="1:8" ht="64.05" customHeight="1" x14ac:dyDescent="0.3">
      <c r="A13" s="15" t="s">
        <v>9</v>
      </c>
      <c r="B13" s="16" t="s">
        <v>23</v>
      </c>
      <c r="C13" s="15" t="s">
        <v>227</v>
      </c>
      <c r="D13" s="15">
        <v>16</v>
      </c>
      <c r="E13" s="15">
        <v>910</v>
      </c>
      <c r="F13" s="17">
        <v>56.9</v>
      </c>
      <c r="G13" s="13" t="s">
        <v>41</v>
      </c>
      <c r="H13" s="14" t="s">
        <v>108</v>
      </c>
    </row>
    <row r="14" spans="1:8" ht="64.05" customHeight="1" x14ac:dyDescent="0.3">
      <c r="A14" s="15" t="s">
        <v>9</v>
      </c>
      <c r="B14" s="16" t="s">
        <v>23</v>
      </c>
      <c r="C14" s="15" t="s">
        <v>227</v>
      </c>
      <c r="D14" s="15">
        <v>7</v>
      </c>
      <c r="E14" s="15">
        <v>204</v>
      </c>
      <c r="F14" s="17">
        <v>29.1</v>
      </c>
      <c r="G14" s="13" t="s">
        <v>43</v>
      </c>
      <c r="H14" s="14" t="s">
        <v>108</v>
      </c>
    </row>
    <row r="15" spans="1:8" ht="165.45" customHeight="1" x14ac:dyDescent="0.3">
      <c r="A15" s="15" t="s">
        <v>9</v>
      </c>
      <c r="B15" s="16" t="s">
        <v>28</v>
      </c>
      <c r="C15" s="15" t="s">
        <v>228</v>
      </c>
      <c r="D15" s="15">
        <v>32</v>
      </c>
      <c r="E15" s="15">
        <v>1002</v>
      </c>
      <c r="F15" s="17">
        <v>31.3</v>
      </c>
      <c r="G15" s="13" t="s">
        <v>39</v>
      </c>
      <c r="H15" s="14" t="s">
        <v>98</v>
      </c>
    </row>
    <row r="16" spans="1:8" ht="78.45" customHeight="1" x14ac:dyDescent="0.3">
      <c r="A16" s="15" t="s">
        <v>9</v>
      </c>
      <c r="B16" s="16" t="s">
        <v>25</v>
      </c>
      <c r="C16" s="15" t="s">
        <v>229</v>
      </c>
      <c r="D16" s="15">
        <v>25</v>
      </c>
      <c r="E16" s="15">
        <v>796</v>
      </c>
      <c r="F16" s="17">
        <v>31.8</v>
      </c>
      <c r="G16" s="13" t="s">
        <v>50</v>
      </c>
      <c r="H16" s="14" t="s">
        <v>90</v>
      </c>
    </row>
    <row r="17" spans="1:8" ht="93" customHeight="1" x14ac:dyDescent="0.3">
      <c r="A17" s="15" t="s">
        <v>9</v>
      </c>
      <c r="B17" s="16" t="s">
        <v>25</v>
      </c>
      <c r="C17" s="15" t="s">
        <v>229</v>
      </c>
      <c r="D17" s="15">
        <v>5</v>
      </c>
      <c r="E17" s="15">
        <v>93</v>
      </c>
      <c r="F17" s="17">
        <v>18.600000000000001</v>
      </c>
      <c r="G17" s="13" t="s">
        <v>93</v>
      </c>
      <c r="H17" s="14" t="s">
        <v>94</v>
      </c>
    </row>
    <row r="18" spans="1:8" ht="64.05" customHeight="1" x14ac:dyDescent="0.3">
      <c r="A18" s="15" t="s">
        <v>9</v>
      </c>
      <c r="B18" s="16" t="s">
        <v>25</v>
      </c>
      <c r="C18" s="15" t="s">
        <v>229</v>
      </c>
      <c r="D18" s="15">
        <v>3</v>
      </c>
      <c r="E18" s="15">
        <v>42</v>
      </c>
      <c r="F18" s="17">
        <v>14</v>
      </c>
      <c r="G18" s="13" t="s">
        <v>230</v>
      </c>
      <c r="H18" s="14" t="s">
        <v>231</v>
      </c>
    </row>
    <row r="19" spans="1:8" ht="64.05" customHeight="1" x14ac:dyDescent="0.3">
      <c r="A19" s="15" t="s">
        <v>9</v>
      </c>
      <c r="B19" s="16" t="s">
        <v>25</v>
      </c>
      <c r="C19" s="15" t="s">
        <v>229</v>
      </c>
      <c r="D19" s="15">
        <v>1</v>
      </c>
      <c r="E19" s="15">
        <v>17</v>
      </c>
      <c r="F19" s="17">
        <v>17</v>
      </c>
      <c r="G19" s="13" t="s">
        <v>232</v>
      </c>
      <c r="H19" s="14" t="s">
        <v>233</v>
      </c>
    </row>
    <row r="20" spans="1:8" ht="49.5" customHeight="1" x14ac:dyDescent="0.3">
      <c r="A20" s="15" t="s">
        <v>9</v>
      </c>
      <c r="B20" s="16" t="s">
        <v>25</v>
      </c>
      <c r="C20" s="15" t="s">
        <v>229</v>
      </c>
      <c r="D20" s="15">
        <v>1</v>
      </c>
      <c r="E20" s="15">
        <v>12</v>
      </c>
      <c r="F20" s="17">
        <v>12</v>
      </c>
      <c r="G20" s="13" t="s">
        <v>234</v>
      </c>
      <c r="H20" s="14" t="s">
        <v>235</v>
      </c>
    </row>
    <row r="21" spans="1:8" ht="49.5" customHeight="1" x14ac:dyDescent="0.3">
      <c r="A21" s="15" t="s">
        <v>9</v>
      </c>
      <c r="B21" s="16" t="s">
        <v>25</v>
      </c>
      <c r="C21" s="15" t="s">
        <v>229</v>
      </c>
      <c r="D21" s="15">
        <v>1</v>
      </c>
      <c r="E21" s="15">
        <v>10</v>
      </c>
      <c r="F21" s="17">
        <v>10</v>
      </c>
      <c r="G21" s="13" t="s">
        <v>236</v>
      </c>
      <c r="H21" s="14" t="s">
        <v>237</v>
      </c>
    </row>
    <row r="22" spans="1:8" ht="64.05" customHeight="1" x14ac:dyDescent="0.3">
      <c r="A22" s="15" t="s">
        <v>9</v>
      </c>
      <c r="B22" s="16" t="s">
        <v>19</v>
      </c>
      <c r="C22" s="15" t="s">
        <v>238</v>
      </c>
      <c r="D22" s="15">
        <v>7</v>
      </c>
      <c r="E22" s="15">
        <v>312</v>
      </c>
      <c r="F22" s="17">
        <v>44.6</v>
      </c>
      <c r="G22" s="13" t="s">
        <v>37</v>
      </c>
      <c r="H22" s="14" t="s">
        <v>57</v>
      </c>
    </row>
    <row r="23" spans="1:8" ht="49.5" customHeight="1" x14ac:dyDescent="0.3">
      <c r="A23" s="15" t="s">
        <v>9</v>
      </c>
      <c r="B23" s="16" t="s">
        <v>19</v>
      </c>
      <c r="C23" s="15" t="s">
        <v>238</v>
      </c>
      <c r="D23" s="15">
        <v>5</v>
      </c>
      <c r="E23" s="15">
        <v>218</v>
      </c>
      <c r="F23" s="17">
        <v>43.6</v>
      </c>
      <c r="G23" s="13" t="s">
        <v>239</v>
      </c>
      <c r="H23" s="14" t="s">
        <v>240</v>
      </c>
    </row>
    <row r="24" spans="1:8" ht="64.05" customHeight="1" x14ac:dyDescent="0.3">
      <c r="A24" s="15" t="s">
        <v>9</v>
      </c>
      <c r="B24" s="16" t="s">
        <v>19</v>
      </c>
      <c r="C24" s="15" t="s">
        <v>238</v>
      </c>
      <c r="D24" s="15">
        <v>4</v>
      </c>
      <c r="E24" s="15">
        <v>144</v>
      </c>
      <c r="F24" s="17">
        <v>36</v>
      </c>
      <c r="G24" s="13" t="s">
        <v>60</v>
      </c>
      <c r="H24" s="14" t="s">
        <v>61</v>
      </c>
    </row>
    <row r="25" spans="1:8" ht="64.05" customHeight="1" x14ac:dyDescent="0.3">
      <c r="A25" s="15" t="s">
        <v>9</v>
      </c>
      <c r="B25" s="16" t="s">
        <v>19</v>
      </c>
      <c r="C25" s="15" t="s">
        <v>238</v>
      </c>
      <c r="D25" s="15">
        <v>4</v>
      </c>
      <c r="E25" s="15">
        <v>94</v>
      </c>
      <c r="F25" s="17">
        <v>23.5</v>
      </c>
      <c r="G25" s="13" t="s">
        <v>66</v>
      </c>
      <c r="H25" s="14" t="s">
        <v>67</v>
      </c>
    </row>
    <row r="26" spans="1:8" ht="49.5" customHeight="1" x14ac:dyDescent="0.3">
      <c r="A26" s="15" t="s">
        <v>9</v>
      </c>
      <c r="B26" s="16" t="s">
        <v>19</v>
      </c>
      <c r="C26" s="15" t="s">
        <v>238</v>
      </c>
      <c r="D26" s="15">
        <v>3</v>
      </c>
      <c r="E26" s="15">
        <v>80</v>
      </c>
      <c r="F26" s="17">
        <v>26.7</v>
      </c>
      <c r="G26" s="13" t="s">
        <v>241</v>
      </c>
      <c r="H26" s="14" t="s">
        <v>242</v>
      </c>
    </row>
    <row r="27" spans="1:8" ht="78.45" customHeight="1" x14ac:dyDescent="0.3">
      <c r="A27" s="15" t="s">
        <v>9</v>
      </c>
      <c r="B27" s="16" t="s">
        <v>19</v>
      </c>
      <c r="C27" s="15" t="s">
        <v>238</v>
      </c>
      <c r="D27" s="15">
        <v>1</v>
      </c>
      <c r="E27" s="15">
        <v>55</v>
      </c>
      <c r="F27" s="17">
        <v>55</v>
      </c>
      <c r="G27" s="13" t="s">
        <v>62</v>
      </c>
      <c r="H27" s="14" t="s">
        <v>63</v>
      </c>
    </row>
    <row r="28" spans="1:8" ht="78.45" customHeight="1" x14ac:dyDescent="0.3">
      <c r="A28" s="15" t="s">
        <v>9</v>
      </c>
      <c r="B28" s="16" t="s">
        <v>116</v>
      </c>
      <c r="C28" s="15" t="s">
        <v>243</v>
      </c>
      <c r="D28" s="15">
        <v>8</v>
      </c>
      <c r="E28" s="15">
        <v>468</v>
      </c>
      <c r="F28" s="17">
        <v>58.5</v>
      </c>
      <c r="G28" s="13" t="s">
        <v>118</v>
      </c>
      <c r="H28" s="14" t="s">
        <v>119</v>
      </c>
    </row>
    <row r="29" spans="1:8" ht="64.05" customHeight="1" x14ac:dyDescent="0.3">
      <c r="A29" s="15" t="s">
        <v>9</v>
      </c>
      <c r="B29" s="16" t="s">
        <v>26</v>
      </c>
      <c r="C29" s="15" t="s">
        <v>244</v>
      </c>
      <c r="D29" s="15">
        <v>4</v>
      </c>
      <c r="E29" s="15">
        <v>173</v>
      </c>
      <c r="F29" s="17">
        <v>43.2</v>
      </c>
      <c r="G29" s="13" t="s">
        <v>112</v>
      </c>
      <c r="H29" s="14" t="s">
        <v>113</v>
      </c>
    </row>
    <row r="30" spans="1:8" ht="64.05" customHeight="1" x14ac:dyDescent="0.3">
      <c r="A30" s="15" t="s">
        <v>9</v>
      </c>
      <c r="B30" s="16" t="s">
        <v>26</v>
      </c>
      <c r="C30" s="15" t="s">
        <v>244</v>
      </c>
      <c r="D30" s="15">
        <v>7</v>
      </c>
      <c r="E30" s="15">
        <v>144</v>
      </c>
      <c r="F30" s="17">
        <v>20.6</v>
      </c>
      <c r="G30" s="13" t="s">
        <v>114</v>
      </c>
      <c r="H30" s="14" t="s">
        <v>115</v>
      </c>
    </row>
    <row r="31" spans="1:8" ht="64.05" customHeight="1" x14ac:dyDescent="0.3">
      <c r="A31" s="15" t="s">
        <v>9</v>
      </c>
      <c r="B31" s="16" t="s">
        <v>26</v>
      </c>
      <c r="C31" s="15" t="s">
        <v>244</v>
      </c>
      <c r="D31" s="15">
        <v>4</v>
      </c>
      <c r="E31" s="15">
        <v>105</v>
      </c>
      <c r="F31" s="17">
        <v>26.2</v>
      </c>
      <c r="G31" s="13" t="s">
        <v>110</v>
      </c>
      <c r="H31" s="14" t="s">
        <v>111</v>
      </c>
    </row>
    <row r="32" spans="1:8" ht="78.45" customHeight="1" x14ac:dyDescent="0.3">
      <c r="A32" s="15" t="s">
        <v>9</v>
      </c>
      <c r="B32" s="16" t="s">
        <v>27</v>
      </c>
      <c r="C32" s="15" t="s">
        <v>245</v>
      </c>
      <c r="D32" s="15">
        <v>12</v>
      </c>
      <c r="E32" s="15">
        <v>375</v>
      </c>
      <c r="F32" s="17">
        <v>31.2</v>
      </c>
      <c r="G32" s="13" t="s">
        <v>47</v>
      </c>
      <c r="H32" s="14" t="s">
        <v>75</v>
      </c>
    </row>
    <row r="33" spans="1:8" ht="64.05" customHeight="1" x14ac:dyDescent="0.3">
      <c r="A33" s="15" t="s">
        <v>9</v>
      </c>
      <c r="B33" s="16" t="s">
        <v>99</v>
      </c>
      <c r="C33" s="15" t="s">
        <v>246</v>
      </c>
      <c r="D33" s="15">
        <v>4</v>
      </c>
      <c r="E33" s="15">
        <v>272</v>
      </c>
      <c r="F33" s="17">
        <v>68</v>
      </c>
      <c r="G33" s="13" t="s">
        <v>101</v>
      </c>
      <c r="H33" s="14" t="s">
        <v>102</v>
      </c>
    </row>
    <row r="34" spans="1:8" ht="49.5" customHeight="1" x14ac:dyDescent="0.3">
      <c r="A34" s="15" t="s">
        <v>9</v>
      </c>
      <c r="B34" s="16" t="s">
        <v>99</v>
      </c>
      <c r="C34" s="15" t="s">
        <v>246</v>
      </c>
      <c r="D34" s="15">
        <v>1</v>
      </c>
      <c r="E34" s="15">
        <v>30</v>
      </c>
      <c r="F34" s="17">
        <v>30</v>
      </c>
      <c r="G34" s="13" t="s">
        <v>105</v>
      </c>
      <c r="H34" s="14" t="s">
        <v>106</v>
      </c>
    </row>
    <row r="35" spans="1:8" ht="121.95" customHeight="1" x14ac:dyDescent="0.3">
      <c r="A35" s="15" t="s">
        <v>9</v>
      </c>
      <c r="B35" s="16" t="s">
        <v>24</v>
      </c>
      <c r="C35" s="15" t="s">
        <v>228</v>
      </c>
      <c r="D35" s="15">
        <v>18</v>
      </c>
      <c r="E35" s="15">
        <v>288</v>
      </c>
      <c r="F35" s="17">
        <v>16</v>
      </c>
      <c r="G35" s="13" t="s">
        <v>45</v>
      </c>
      <c r="H35" s="14" t="s">
        <v>69</v>
      </c>
    </row>
    <row r="36" spans="1:8" ht="49.5" customHeight="1" x14ac:dyDescent="0.3">
      <c r="A36" s="15" t="s">
        <v>9</v>
      </c>
      <c r="B36" s="16" t="s">
        <v>24</v>
      </c>
      <c r="C36" s="15" t="s">
        <v>228</v>
      </c>
      <c r="D36" s="15">
        <v>1</v>
      </c>
      <c r="E36" s="15">
        <v>9</v>
      </c>
      <c r="F36" s="17">
        <v>9</v>
      </c>
      <c r="G36" s="13" t="s">
        <v>247</v>
      </c>
      <c r="H36" s="14" t="s">
        <v>248</v>
      </c>
    </row>
    <row r="37" spans="1:8" ht="49.5" customHeight="1" x14ac:dyDescent="0.3">
      <c r="A37" s="15" t="s">
        <v>9</v>
      </c>
      <c r="B37" s="16" t="s">
        <v>162</v>
      </c>
      <c r="C37" s="15" t="s">
        <v>249</v>
      </c>
      <c r="D37" s="15">
        <v>8</v>
      </c>
      <c r="E37" s="15">
        <v>168</v>
      </c>
      <c r="F37" s="17">
        <v>21</v>
      </c>
      <c r="G37" s="13" t="s">
        <v>250</v>
      </c>
      <c r="H37" s="14" t="s">
        <v>251</v>
      </c>
    </row>
    <row r="38" spans="1:8" ht="64.05" customHeight="1" x14ac:dyDescent="0.3">
      <c r="A38" s="15" t="s">
        <v>9</v>
      </c>
      <c r="B38" s="16" t="s">
        <v>162</v>
      </c>
      <c r="C38" s="15" t="s">
        <v>249</v>
      </c>
      <c r="D38" s="15">
        <v>5</v>
      </c>
      <c r="E38" s="15">
        <v>98</v>
      </c>
      <c r="F38" s="17">
        <v>19.600000000000001</v>
      </c>
      <c r="G38" s="13" t="s">
        <v>164</v>
      </c>
      <c r="H38" s="14" t="s">
        <v>165</v>
      </c>
    </row>
    <row r="39" spans="1:8" ht="49.5" customHeight="1" x14ac:dyDescent="0.3">
      <c r="A39" s="15" t="s">
        <v>9</v>
      </c>
      <c r="B39" s="16" t="s">
        <v>162</v>
      </c>
      <c r="C39" s="15" t="s">
        <v>249</v>
      </c>
      <c r="D39" s="15">
        <v>1</v>
      </c>
      <c r="E39" s="15">
        <v>12</v>
      </c>
      <c r="F39" s="17">
        <v>12</v>
      </c>
      <c r="G39" s="13" t="s">
        <v>252</v>
      </c>
      <c r="H39" s="14" t="s">
        <v>253</v>
      </c>
    </row>
    <row r="40" spans="1:8" ht="64.05" customHeight="1" x14ac:dyDescent="0.3">
      <c r="A40" s="15" t="s">
        <v>9</v>
      </c>
      <c r="B40" s="16" t="s">
        <v>154</v>
      </c>
      <c r="C40" s="15" t="s">
        <v>254</v>
      </c>
      <c r="D40" s="15">
        <v>11</v>
      </c>
      <c r="E40" s="15">
        <v>196</v>
      </c>
      <c r="F40" s="17">
        <v>17.8</v>
      </c>
      <c r="G40" s="13" t="s">
        <v>156</v>
      </c>
      <c r="H40" s="14" t="s">
        <v>157</v>
      </c>
    </row>
    <row r="41" spans="1:8" ht="49.5" customHeight="1" x14ac:dyDescent="0.3">
      <c r="A41" s="15" t="s">
        <v>9</v>
      </c>
      <c r="B41" s="16" t="s">
        <v>154</v>
      </c>
      <c r="C41" s="15" t="s">
        <v>254</v>
      </c>
      <c r="D41" s="15">
        <v>2</v>
      </c>
      <c r="E41" s="15">
        <v>28</v>
      </c>
      <c r="F41" s="17">
        <v>14</v>
      </c>
      <c r="G41" s="13" t="s">
        <v>158</v>
      </c>
      <c r="H41" s="14" t="s">
        <v>159</v>
      </c>
    </row>
    <row r="42" spans="1:8" ht="49.5" customHeight="1" x14ac:dyDescent="0.3">
      <c r="A42" s="15" t="s">
        <v>9</v>
      </c>
      <c r="B42" s="16" t="s">
        <v>154</v>
      </c>
      <c r="C42" s="15" t="s">
        <v>254</v>
      </c>
      <c r="D42" s="15">
        <v>1</v>
      </c>
      <c r="E42" s="15">
        <v>10</v>
      </c>
      <c r="F42" s="17">
        <v>10</v>
      </c>
      <c r="G42" s="13" t="s">
        <v>255</v>
      </c>
      <c r="H42" s="14" t="s">
        <v>256</v>
      </c>
    </row>
    <row r="43" spans="1:8" ht="64.05" customHeight="1" x14ac:dyDescent="0.3">
      <c r="A43" s="15" t="s">
        <v>9</v>
      </c>
      <c r="B43" s="16" t="s">
        <v>192</v>
      </c>
      <c r="C43" s="15" t="s">
        <v>257</v>
      </c>
      <c r="D43" s="15">
        <v>9</v>
      </c>
      <c r="E43" s="15">
        <v>186</v>
      </c>
      <c r="F43" s="17">
        <v>20.7</v>
      </c>
      <c r="G43" s="13" t="s">
        <v>194</v>
      </c>
      <c r="H43" s="14" t="s">
        <v>195</v>
      </c>
    </row>
    <row r="44" spans="1:8" ht="49.5" customHeight="1" x14ac:dyDescent="0.3">
      <c r="A44" s="15" t="s">
        <v>9</v>
      </c>
      <c r="B44" s="16" t="s">
        <v>192</v>
      </c>
      <c r="C44" s="15" t="s">
        <v>257</v>
      </c>
      <c r="D44" s="15">
        <v>1</v>
      </c>
      <c r="E44" s="15">
        <v>20</v>
      </c>
      <c r="F44" s="17">
        <v>20</v>
      </c>
      <c r="G44" s="13" t="s">
        <v>258</v>
      </c>
      <c r="H44" s="14" t="s">
        <v>259</v>
      </c>
    </row>
    <row r="45" spans="1:8" ht="78.45" customHeight="1" x14ac:dyDescent="0.3">
      <c r="A45" s="15" t="s">
        <v>9</v>
      </c>
      <c r="B45" s="16" t="s">
        <v>138</v>
      </c>
      <c r="C45" s="15" t="s">
        <v>260</v>
      </c>
      <c r="D45" s="15">
        <v>6</v>
      </c>
      <c r="E45" s="15">
        <v>178</v>
      </c>
      <c r="F45" s="17">
        <v>29.7</v>
      </c>
      <c r="G45" s="13" t="s">
        <v>140</v>
      </c>
      <c r="H45" s="14" t="s">
        <v>141</v>
      </c>
    </row>
    <row r="46" spans="1:8" ht="64.05" customHeight="1" x14ac:dyDescent="0.3">
      <c r="A46" s="15" t="s">
        <v>9</v>
      </c>
      <c r="B46" s="16" t="s">
        <v>138</v>
      </c>
      <c r="C46" s="15" t="s">
        <v>260</v>
      </c>
      <c r="D46" s="15">
        <v>1</v>
      </c>
      <c r="E46" s="15">
        <v>11</v>
      </c>
      <c r="F46" s="17">
        <v>11</v>
      </c>
      <c r="G46" s="13" t="s">
        <v>261</v>
      </c>
      <c r="H46" s="14" t="s">
        <v>262</v>
      </c>
    </row>
    <row r="47" spans="1:8" ht="64.05" customHeight="1" x14ac:dyDescent="0.3">
      <c r="A47" s="15" t="s">
        <v>9</v>
      </c>
      <c r="B47" s="16" t="s">
        <v>144</v>
      </c>
      <c r="C47" s="15" t="s">
        <v>263</v>
      </c>
      <c r="D47" s="15">
        <v>12</v>
      </c>
      <c r="E47" s="15">
        <v>169</v>
      </c>
      <c r="F47" s="17">
        <v>14.1</v>
      </c>
      <c r="G47" s="13" t="s">
        <v>146</v>
      </c>
      <c r="H47" s="14" t="s">
        <v>147</v>
      </c>
    </row>
    <row r="48" spans="1:8" ht="165.45" customHeight="1" x14ac:dyDescent="0.3">
      <c r="A48" s="15" t="s">
        <v>9</v>
      </c>
      <c r="B48" s="16" t="s">
        <v>95</v>
      </c>
      <c r="C48" s="15" t="s">
        <v>228</v>
      </c>
      <c r="D48" s="15">
        <v>6</v>
      </c>
      <c r="E48" s="15">
        <v>122</v>
      </c>
      <c r="F48" s="17">
        <v>20.3</v>
      </c>
      <c r="G48" s="13" t="s">
        <v>97</v>
      </c>
      <c r="H48" s="14" t="s">
        <v>98</v>
      </c>
    </row>
    <row r="49" spans="1:8" ht="49.5" customHeight="1" x14ac:dyDescent="0.3">
      <c r="A49" s="15" t="s">
        <v>9</v>
      </c>
      <c r="B49" s="16" t="s">
        <v>148</v>
      </c>
      <c r="C49" s="15" t="s">
        <v>264</v>
      </c>
      <c r="D49" s="15">
        <v>2</v>
      </c>
      <c r="E49" s="15">
        <v>77</v>
      </c>
      <c r="F49" s="17">
        <v>38.5</v>
      </c>
      <c r="G49" s="13" t="s">
        <v>265</v>
      </c>
      <c r="H49" s="14" t="s">
        <v>266</v>
      </c>
    </row>
    <row r="50" spans="1:8" ht="64.05" customHeight="1" x14ac:dyDescent="0.3">
      <c r="A50" s="15" t="s">
        <v>9</v>
      </c>
      <c r="B50" s="16" t="s">
        <v>267</v>
      </c>
      <c r="C50" s="15" t="s">
        <v>268</v>
      </c>
      <c r="D50" s="15">
        <v>2</v>
      </c>
      <c r="E50" s="15">
        <v>67</v>
      </c>
      <c r="F50" s="17">
        <v>33.5</v>
      </c>
      <c r="G50" s="13" t="s">
        <v>269</v>
      </c>
      <c r="H50" s="14" t="s">
        <v>270</v>
      </c>
    </row>
    <row r="51" spans="1:8" ht="49.5" customHeight="1" x14ac:dyDescent="0.3">
      <c r="A51" s="15" t="s">
        <v>9</v>
      </c>
      <c r="B51" s="16" t="s">
        <v>180</v>
      </c>
      <c r="C51" s="15" t="s">
        <v>271</v>
      </c>
      <c r="D51" s="15">
        <v>2</v>
      </c>
      <c r="E51" s="15">
        <v>60</v>
      </c>
      <c r="F51" s="17">
        <v>30</v>
      </c>
      <c r="G51" s="13" t="s">
        <v>272</v>
      </c>
      <c r="H51" s="14" t="s">
        <v>273</v>
      </c>
    </row>
    <row r="52" spans="1:8" ht="49.5" customHeight="1" x14ac:dyDescent="0.3">
      <c r="A52" s="15" t="s">
        <v>9</v>
      </c>
      <c r="B52" s="16" t="s">
        <v>205</v>
      </c>
      <c r="C52" s="15" t="s">
        <v>274</v>
      </c>
      <c r="D52" s="15">
        <v>1</v>
      </c>
      <c r="E52" s="15">
        <v>50</v>
      </c>
      <c r="F52" s="17">
        <v>50</v>
      </c>
      <c r="G52" s="13" t="s">
        <v>275</v>
      </c>
      <c r="H52" s="14" t="s">
        <v>276</v>
      </c>
    </row>
    <row r="53" spans="1:8" ht="78.45" customHeight="1" x14ac:dyDescent="0.3">
      <c r="A53" s="15" t="s">
        <v>9</v>
      </c>
      <c r="B53" s="16" t="s">
        <v>205</v>
      </c>
      <c r="C53" s="15" t="s">
        <v>274</v>
      </c>
      <c r="D53" s="15">
        <v>2</v>
      </c>
      <c r="E53" s="15">
        <v>8</v>
      </c>
      <c r="F53" s="17">
        <v>4</v>
      </c>
      <c r="G53" s="13" t="s">
        <v>277</v>
      </c>
      <c r="H53" s="14" t="s">
        <v>278</v>
      </c>
    </row>
    <row r="54" spans="1:8" ht="78.45" customHeight="1" x14ac:dyDescent="0.3">
      <c r="A54" s="15" t="s">
        <v>9</v>
      </c>
      <c r="B54" s="16" t="s">
        <v>22</v>
      </c>
      <c r="C54" s="15" t="s">
        <v>279</v>
      </c>
      <c r="D54" s="15">
        <v>1</v>
      </c>
      <c r="E54" s="15">
        <v>45</v>
      </c>
      <c r="F54" s="17">
        <v>45</v>
      </c>
      <c r="G54" s="13" t="s">
        <v>280</v>
      </c>
      <c r="H54" s="14" t="s">
        <v>281</v>
      </c>
    </row>
    <row r="55" spans="1:8" ht="107.55" customHeight="1" x14ac:dyDescent="0.3">
      <c r="A55" s="15" t="s">
        <v>9</v>
      </c>
      <c r="B55" s="16" t="s">
        <v>22</v>
      </c>
      <c r="C55" s="15" t="s">
        <v>279</v>
      </c>
      <c r="D55" s="15">
        <v>1</v>
      </c>
      <c r="E55" s="15">
        <v>8</v>
      </c>
      <c r="F55" s="17">
        <v>8</v>
      </c>
      <c r="G55" s="13" t="s">
        <v>33</v>
      </c>
      <c r="H55" s="14" t="s">
        <v>282</v>
      </c>
    </row>
    <row r="56" spans="1:8" ht="64.05" customHeight="1" x14ac:dyDescent="0.3">
      <c r="A56" s="15" t="s">
        <v>9</v>
      </c>
      <c r="B56" s="16" t="s">
        <v>283</v>
      </c>
      <c r="C56" s="15" t="s">
        <v>284</v>
      </c>
      <c r="D56" s="15">
        <v>3</v>
      </c>
      <c r="E56" s="15">
        <v>39</v>
      </c>
      <c r="F56" s="17">
        <v>13</v>
      </c>
      <c r="G56" s="13" t="s">
        <v>285</v>
      </c>
      <c r="H56" s="14" t="s">
        <v>286</v>
      </c>
    </row>
    <row r="57" spans="1:8" ht="49.5" customHeight="1" x14ac:dyDescent="0.3">
      <c r="A57" s="15" t="s">
        <v>9</v>
      </c>
      <c r="B57" s="16" t="s">
        <v>209</v>
      </c>
      <c r="C57" s="15" t="s">
        <v>287</v>
      </c>
      <c r="D57" s="15">
        <v>1</v>
      </c>
      <c r="E57" s="15">
        <v>35</v>
      </c>
      <c r="F57" s="17">
        <v>35</v>
      </c>
      <c r="G57" s="13" t="s">
        <v>211</v>
      </c>
      <c r="H57" s="14" t="s">
        <v>212</v>
      </c>
    </row>
    <row r="58" spans="1:8" ht="49.5" customHeight="1" x14ac:dyDescent="0.3">
      <c r="A58" s="15" t="s">
        <v>9</v>
      </c>
      <c r="B58" s="16" t="s">
        <v>186</v>
      </c>
      <c r="C58" s="15" t="s">
        <v>288</v>
      </c>
      <c r="D58" s="15">
        <v>1</v>
      </c>
      <c r="E58" s="15">
        <v>20</v>
      </c>
      <c r="F58" s="17">
        <v>20</v>
      </c>
      <c r="G58" s="13" t="s">
        <v>188</v>
      </c>
      <c r="H58" s="14" t="s">
        <v>189</v>
      </c>
    </row>
    <row r="59" spans="1:8" ht="49.5" customHeight="1" x14ac:dyDescent="0.3">
      <c r="A59" s="15" t="s">
        <v>9</v>
      </c>
      <c r="B59" s="16" t="s">
        <v>289</v>
      </c>
      <c r="C59" s="15" t="s">
        <v>290</v>
      </c>
      <c r="D59" s="15">
        <v>1</v>
      </c>
      <c r="E59" s="15">
        <v>4</v>
      </c>
      <c r="F59" s="17">
        <v>4</v>
      </c>
      <c r="G59" s="13" t="s">
        <v>291</v>
      </c>
      <c r="H59" s="14" t="s">
        <v>292</v>
      </c>
    </row>
  </sheetData>
  <autoFilter ref="A4:H59" xr:uid="{00000000-0009-0000-0000-000004000000}"/>
  <mergeCells count="1">
    <mergeCell ref="A2:H2"/>
  </mergeCell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47"/>
  <sheetViews>
    <sheetView workbookViewId="0">
      <pane ySplit="4" topLeftCell="A8" activePane="bottomLeft" state="frozen"/>
      <selection pane="bottomLeft" activeCell="G10" sqref="G10"/>
    </sheetView>
  </sheetViews>
  <sheetFormatPr baseColWidth="10" defaultColWidth="8.88671875" defaultRowHeight="14.4" x14ac:dyDescent="0.3"/>
  <cols>
    <col min="1" max="1" width="11" customWidth="1"/>
    <col min="2" max="2" width="28" customWidth="1"/>
    <col min="3" max="3" width="13" customWidth="1"/>
    <col min="4" max="4" width="10" customWidth="1"/>
    <col min="5" max="6" width="12" customWidth="1"/>
    <col min="7" max="7" width="30" customWidth="1"/>
    <col min="8" max="8" width="80" customWidth="1"/>
  </cols>
  <sheetData>
    <row r="1" spans="1:8" ht="18" x14ac:dyDescent="0.35">
      <c r="A1" s="1" t="s">
        <v>350</v>
      </c>
    </row>
    <row r="2" spans="1:8" ht="34.049999999999997" customHeight="1" x14ac:dyDescent="0.3">
      <c r="A2" s="21" t="s">
        <v>52</v>
      </c>
      <c r="B2" s="22"/>
      <c r="C2" s="22"/>
      <c r="D2" s="22"/>
      <c r="E2" s="22"/>
      <c r="F2" s="22"/>
      <c r="G2" s="22"/>
      <c r="H2" s="22"/>
    </row>
    <row r="4" spans="1:8" ht="48" customHeight="1" x14ac:dyDescent="0.3">
      <c r="A4" s="2" t="s">
        <v>0</v>
      </c>
      <c r="B4" s="2" t="s">
        <v>16</v>
      </c>
      <c r="C4" s="2" t="s">
        <v>53</v>
      </c>
      <c r="D4" s="2" t="s">
        <v>2</v>
      </c>
      <c r="E4" s="2" t="s">
        <v>3</v>
      </c>
      <c r="F4" s="2" t="s">
        <v>54</v>
      </c>
      <c r="G4" s="2" t="s">
        <v>31</v>
      </c>
      <c r="H4" s="2" t="s">
        <v>55</v>
      </c>
    </row>
    <row r="5" spans="1:8" ht="107.55" customHeight="1" x14ac:dyDescent="0.3">
      <c r="A5" s="18" t="s">
        <v>11</v>
      </c>
      <c r="B5" s="19" t="s">
        <v>22</v>
      </c>
      <c r="C5" s="18" t="s">
        <v>293</v>
      </c>
      <c r="D5" s="18">
        <v>27</v>
      </c>
      <c r="E5" s="18">
        <v>2061</v>
      </c>
      <c r="F5" s="20">
        <v>76.3</v>
      </c>
      <c r="G5" s="13" t="s">
        <v>33</v>
      </c>
      <c r="H5" s="14" t="s">
        <v>282</v>
      </c>
    </row>
    <row r="6" spans="1:8" ht="78.45" customHeight="1" x14ac:dyDescent="0.3">
      <c r="A6" s="18" t="s">
        <v>11</v>
      </c>
      <c r="B6" s="19" t="s">
        <v>22</v>
      </c>
      <c r="C6" s="18" t="s">
        <v>293</v>
      </c>
      <c r="D6" s="18">
        <v>2</v>
      </c>
      <c r="E6" s="18">
        <v>200</v>
      </c>
      <c r="F6" s="20">
        <v>100</v>
      </c>
      <c r="G6" s="13" t="s">
        <v>280</v>
      </c>
      <c r="H6" s="14" t="s">
        <v>281</v>
      </c>
    </row>
    <row r="7" spans="1:8" ht="107.55" customHeight="1" x14ac:dyDescent="0.3">
      <c r="A7" s="18" t="s">
        <v>11</v>
      </c>
      <c r="B7" s="19" t="s">
        <v>22</v>
      </c>
      <c r="C7" s="18" t="s">
        <v>293</v>
      </c>
      <c r="D7" s="18">
        <v>2</v>
      </c>
      <c r="E7" s="18">
        <v>35</v>
      </c>
      <c r="F7" s="20">
        <v>17.5</v>
      </c>
      <c r="G7" s="13" t="s">
        <v>124</v>
      </c>
      <c r="H7" s="14" t="s">
        <v>125</v>
      </c>
    </row>
    <row r="8" spans="1:8" ht="78.45" customHeight="1" x14ac:dyDescent="0.3">
      <c r="A8" s="18" t="s">
        <v>11</v>
      </c>
      <c r="B8" s="19" t="s">
        <v>20</v>
      </c>
      <c r="C8" s="18" t="s">
        <v>294</v>
      </c>
      <c r="D8" s="18">
        <v>22</v>
      </c>
      <c r="E8" s="18">
        <v>1180</v>
      </c>
      <c r="F8" s="20">
        <v>53.6</v>
      </c>
      <c r="G8" s="13" t="s">
        <v>35</v>
      </c>
      <c r="H8" s="14" t="s">
        <v>135</v>
      </c>
    </row>
    <row r="9" spans="1:8" ht="78.45" customHeight="1" x14ac:dyDescent="0.3">
      <c r="A9" s="18" t="s">
        <v>11</v>
      </c>
      <c r="B9" s="19" t="s">
        <v>20</v>
      </c>
      <c r="C9" s="18" t="s">
        <v>294</v>
      </c>
      <c r="D9" s="18">
        <v>13</v>
      </c>
      <c r="E9" s="18">
        <v>212</v>
      </c>
      <c r="F9" s="20">
        <v>16.3</v>
      </c>
      <c r="G9" s="13" t="s">
        <v>218</v>
      </c>
      <c r="H9" s="14" t="s">
        <v>219</v>
      </c>
    </row>
    <row r="10" spans="1:8" ht="49.5" customHeight="1" x14ac:dyDescent="0.3">
      <c r="A10" s="18" t="s">
        <v>11</v>
      </c>
      <c r="B10" s="19" t="s">
        <v>20</v>
      </c>
      <c r="C10" s="18" t="s">
        <v>294</v>
      </c>
      <c r="D10" s="18">
        <v>1</v>
      </c>
      <c r="E10" s="18">
        <v>100</v>
      </c>
      <c r="F10" s="20">
        <v>100</v>
      </c>
      <c r="G10" s="13" t="s">
        <v>295</v>
      </c>
      <c r="H10" s="14" t="s">
        <v>296</v>
      </c>
    </row>
    <row r="11" spans="1:8" ht="64.05" customHeight="1" x14ac:dyDescent="0.3">
      <c r="A11" s="18" t="s">
        <v>11</v>
      </c>
      <c r="B11" s="19" t="s">
        <v>20</v>
      </c>
      <c r="C11" s="18" t="s">
        <v>294</v>
      </c>
      <c r="D11" s="18">
        <v>11</v>
      </c>
      <c r="E11" s="18">
        <v>83</v>
      </c>
      <c r="F11" s="20">
        <v>7.5</v>
      </c>
      <c r="G11" s="13" t="s">
        <v>297</v>
      </c>
      <c r="H11" s="14" t="s">
        <v>298</v>
      </c>
    </row>
    <row r="12" spans="1:8" ht="64.05" customHeight="1" x14ac:dyDescent="0.3">
      <c r="A12" s="18" t="s">
        <v>11</v>
      </c>
      <c r="B12" s="19" t="s">
        <v>20</v>
      </c>
      <c r="C12" s="18" t="s">
        <v>294</v>
      </c>
      <c r="D12" s="18">
        <v>3</v>
      </c>
      <c r="E12" s="18">
        <v>35</v>
      </c>
      <c r="F12" s="20">
        <v>11.7</v>
      </c>
      <c r="G12" s="13" t="s">
        <v>220</v>
      </c>
      <c r="H12" s="14" t="s">
        <v>221</v>
      </c>
    </row>
    <row r="13" spans="1:8" ht="49.5" customHeight="1" x14ac:dyDescent="0.3">
      <c r="A13" s="18" t="s">
        <v>11</v>
      </c>
      <c r="B13" s="19" t="s">
        <v>20</v>
      </c>
      <c r="C13" s="18" t="s">
        <v>294</v>
      </c>
      <c r="D13" s="18">
        <v>1</v>
      </c>
      <c r="E13" s="18">
        <v>15</v>
      </c>
      <c r="F13" s="20">
        <v>15</v>
      </c>
      <c r="G13" s="13" t="s">
        <v>222</v>
      </c>
      <c r="H13" s="14" t="s">
        <v>223</v>
      </c>
    </row>
    <row r="14" spans="1:8" ht="64.05" customHeight="1" x14ac:dyDescent="0.3">
      <c r="A14" s="18" t="s">
        <v>11</v>
      </c>
      <c r="B14" s="19" t="s">
        <v>23</v>
      </c>
      <c r="C14" s="18" t="s">
        <v>299</v>
      </c>
      <c r="D14" s="18">
        <v>9</v>
      </c>
      <c r="E14" s="18">
        <v>907</v>
      </c>
      <c r="F14" s="20">
        <v>100.8</v>
      </c>
      <c r="G14" s="13" t="s">
        <v>43</v>
      </c>
      <c r="H14" s="14" t="s">
        <v>108</v>
      </c>
    </row>
    <row r="15" spans="1:8" ht="64.05" customHeight="1" x14ac:dyDescent="0.3">
      <c r="A15" s="18" t="s">
        <v>11</v>
      </c>
      <c r="B15" s="19" t="s">
        <v>23</v>
      </c>
      <c r="C15" s="18" t="s">
        <v>299</v>
      </c>
      <c r="D15" s="18">
        <v>1</v>
      </c>
      <c r="E15" s="18">
        <v>26</v>
      </c>
      <c r="F15" s="20">
        <v>26</v>
      </c>
      <c r="G15" s="13" t="s">
        <v>41</v>
      </c>
      <c r="H15" s="14" t="s">
        <v>108</v>
      </c>
    </row>
    <row r="16" spans="1:8" ht="121.95" customHeight="1" x14ac:dyDescent="0.3">
      <c r="A16" s="18" t="s">
        <v>11</v>
      </c>
      <c r="B16" s="19" t="s">
        <v>24</v>
      </c>
      <c r="C16" s="18" t="s">
        <v>300</v>
      </c>
      <c r="D16" s="18">
        <v>39</v>
      </c>
      <c r="E16" s="18">
        <v>877</v>
      </c>
      <c r="F16" s="20">
        <v>22.5</v>
      </c>
      <c r="G16" s="13" t="s">
        <v>45</v>
      </c>
      <c r="H16" s="14" t="s">
        <v>69</v>
      </c>
    </row>
    <row r="17" spans="1:8" ht="64.05" customHeight="1" x14ac:dyDescent="0.3">
      <c r="A17" s="18" t="s">
        <v>11</v>
      </c>
      <c r="B17" s="19" t="s">
        <v>24</v>
      </c>
      <c r="C17" s="18" t="s">
        <v>300</v>
      </c>
      <c r="D17" s="18">
        <v>1</v>
      </c>
      <c r="E17" s="18">
        <v>10</v>
      </c>
      <c r="F17" s="20">
        <v>10</v>
      </c>
      <c r="G17" s="13" t="s">
        <v>301</v>
      </c>
      <c r="H17" s="14" t="s">
        <v>302</v>
      </c>
    </row>
    <row r="18" spans="1:8" ht="64.05" customHeight="1" x14ac:dyDescent="0.3">
      <c r="A18" s="18" t="s">
        <v>11</v>
      </c>
      <c r="B18" s="19" t="s">
        <v>154</v>
      </c>
      <c r="C18" s="18" t="s">
        <v>303</v>
      </c>
      <c r="D18" s="18">
        <v>10</v>
      </c>
      <c r="E18" s="18">
        <v>455</v>
      </c>
      <c r="F18" s="20">
        <v>45.5</v>
      </c>
      <c r="G18" s="13" t="s">
        <v>156</v>
      </c>
      <c r="H18" s="14" t="s">
        <v>157</v>
      </c>
    </row>
    <row r="19" spans="1:8" ht="49.5" customHeight="1" x14ac:dyDescent="0.3">
      <c r="A19" s="18" t="s">
        <v>11</v>
      </c>
      <c r="B19" s="19" t="s">
        <v>154</v>
      </c>
      <c r="C19" s="18" t="s">
        <v>303</v>
      </c>
      <c r="D19" s="18">
        <v>1</v>
      </c>
      <c r="E19" s="18">
        <v>270</v>
      </c>
      <c r="F19" s="20">
        <v>270</v>
      </c>
      <c r="G19" s="13" t="s">
        <v>304</v>
      </c>
      <c r="H19" s="14" t="s">
        <v>305</v>
      </c>
    </row>
    <row r="20" spans="1:8" ht="49.5" customHeight="1" x14ac:dyDescent="0.3">
      <c r="A20" s="18" t="s">
        <v>11</v>
      </c>
      <c r="B20" s="19" t="s">
        <v>154</v>
      </c>
      <c r="C20" s="18" t="s">
        <v>303</v>
      </c>
      <c r="D20" s="18">
        <v>2</v>
      </c>
      <c r="E20" s="18">
        <v>25</v>
      </c>
      <c r="F20" s="20">
        <v>12.5</v>
      </c>
      <c r="G20" s="13" t="s">
        <v>158</v>
      </c>
      <c r="H20" s="14" t="s">
        <v>159</v>
      </c>
    </row>
    <row r="21" spans="1:8" ht="64.05" customHeight="1" x14ac:dyDescent="0.3">
      <c r="A21" s="18" t="s">
        <v>11</v>
      </c>
      <c r="B21" s="19" t="s">
        <v>26</v>
      </c>
      <c r="C21" s="18" t="s">
        <v>306</v>
      </c>
      <c r="D21" s="18">
        <v>10</v>
      </c>
      <c r="E21" s="18">
        <v>380</v>
      </c>
      <c r="F21" s="20">
        <v>38</v>
      </c>
      <c r="G21" s="13" t="s">
        <v>114</v>
      </c>
      <c r="H21" s="14" t="s">
        <v>115</v>
      </c>
    </row>
    <row r="22" spans="1:8" ht="64.05" customHeight="1" x14ac:dyDescent="0.3">
      <c r="A22" s="18" t="s">
        <v>11</v>
      </c>
      <c r="B22" s="19" t="s">
        <v>26</v>
      </c>
      <c r="C22" s="18" t="s">
        <v>306</v>
      </c>
      <c r="D22" s="18">
        <v>6</v>
      </c>
      <c r="E22" s="18">
        <v>195</v>
      </c>
      <c r="F22" s="20">
        <v>32.5</v>
      </c>
      <c r="G22" s="13" t="s">
        <v>112</v>
      </c>
      <c r="H22" s="14" t="s">
        <v>113</v>
      </c>
    </row>
    <row r="23" spans="1:8" ht="64.05" customHeight="1" x14ac:dyDescent="0.3">
      <c r="A23" s="18" t="s">
        <v>11</v>
      </c>
      <c r="B23" s="19" t="s">
        <v>26</v>
      </c>
      <c r="C23" s="18" t="s">
        <v>306</v>
      </c>
      <c r="D23" s="18">
        <v>5</v>
      </c>
      <c r="E23" s="18">
        <v>75</v>
      </c>
      <c r="F23" s="20">
        <v>15</v>
      </c>
      <c r="G23" s="13" t="s">
        <v>307</v>
      </c>
      <c r="H23" s="14" t="s">
        <v>308</v>
      </c>
    </row>
    <row r="24" spans="1:8" ht="64.05" customHeight="1" x14ac:dyDescent="0.3">
      <c r="A24" s="18" t="s">
        <v>11</v>
      </c>
      <c r="B24" s="19" t="s">
        <v>26</v>
      </c>
      <c r="C24" s="18" t="s">
        <v>306</v>
      </c>
      <c r="D24" s="18">
        <v>1</v>
      </c>
      <c r="E24" s="18">
        <v>10</v>
      </c>
      <c r="F24" s="20">
        <v>10</v>
      </c>
      <c r="G24" s="13" t="s">
        <v>110</v>
      </c>
      <c r="H24" s="14" t="s">
        <v>111</v>
      </c>
    </row>
    <row r="25" spans="1:8" ht="78.45" customHeight="1" x14ac:dyDescent="0.3">
      <c r="A25" s="18" t="s">
        <v>11</v>
      </c>
      <c r="B25" s="19" t="s">
        <v>21</v>
      </c>
      <c r="C25" s="18" t="s">
        <v>309</v>
      </c>
      <c r="D25" s="18">
        <v>6</v>
      </c>
      <c r="E25" s="18">
        <v>200</v>
      </c>
      <c r="F25" s="20">
        <v>33.299999999999997</v>
      </c>
      <c r="G25" s="13" t="s">
        <v>87</v>
      </c>
      <c r="H25" s="14" t="s">
        <v>88</v>
      </c>
    </row>
    <row r="26" spans="1:8" ht="64.05" customHeight="1" x14ac:dyDescent="0.3">
      <c r="A26" s="18" t="s">
        <v>11</v>
      </c>
      <c r="B26" s="19" t="s">
        <v>21</v>
      </c>
      <c r="C26" s="18" t="s">
        <v>309</v>
      </c>
      <c r="D26" s="18">
        <v>2</v>
      </c>
      <c r="E26" s="18">
        <v>121</v>
      </c>
      <c r="F26" s="20">
        <v>60.5</v>
      </c>
      <c r="G26" s="13" t="s">
        <v>225</v>
      </c>
      <c r="H26" s="14" t="s">
        <v>226</v>
      </c>
    </row>
    <row r="27" spans="1:8" ht="165.45" customHeight="1" x14ac:dyDescent="0.3">
      <c r="A27" s="18" t="s">
        <v>11</v>
      </c>
      <c r="B27" s="19" t="s">
        <v>310</v>
      </c>
      <c r="C27" s="18" t="s">
        <v>311</v>
      </c>
      <c r="D27" s="18">
        <v>38</v>
      </c>
      <c r="E27" s="18">
        <v>299</v>
      </c>
      <c r="F27" s="20">
        <v>7.9</v>
      </c>
      <c r="G27" s="13" t="s">
        <v>312</v>
      </c>
      <c r="H27" s="14" t="s">
        <v>98</v>
      </c>
    </row>
    <row r="28" spans="1:8" ht="64.05" customHeight="1" x14ac:dyDescent="0.3">
      <c r="A28" s="18" t="s">
        <v>11</v>
      </c>
      <c r="B28" s="19" t="s">
        <v>283</v>
      </c>
      <c r="C28" s="18" t="s">
        <v>284</v>
      </c>
      <c r="D28" s="18">
        <v>1</v>
      </c>
      <c r="E28" s="18">
        <v>290</v>
      </c>
      <c r="F28" s="20">
        <v>290</v>
      </c>
      <c r="G28" s="13" t="s">
        <v>285</v>
      </c>
      <c r="H28" s="14" t="s">
        <v>286</v>
      </c>
    </row>
    <row r="29" spans="1:8" ht="78.45" customHeight="1" x14ac:dyDescent="0.3">
      <c r="A29" s="18" t="s">
        <v>11</v>
      </c>
      <c r="B29" s="19" t="s">
        <v>25</v>
      </c>
      <c r="C29" s="18" t="s">
        <v>313</v>
      </c>
      <c r="D29" s="18">
        <v>9</v>
      </c>
      <c r="E29" s="18">
        <v>245</v>
      </c>
      <c r="F29" s="20">
        <v>27.2</v>
      </c>
      <c r="G29" s="13" t="s">
        <v>50</v>
      </c>
      <c r="H29" s="14" t="s">
        <v>90</v>
      </c>
    </row>
    <row r="30" spans="1:8" ht="93" customHeight="1" x14ac:dyDescent="0.3">
      <c r="A30" s="18" t="s">
        <v>11</v>
      </c>
      <c r="B30" s="19" t="s">
        <v>25</v>
      </c>
      <c r="C30" s="18" t="s">
        <v>313</v>
      </c>
      <c r="D30" s="18">
        <v>9</v>
      </c>
      <c r="E30" s="18">
        <v>42</v>
      </c>
      <c r="F30" s="20">
        <v>4.7</v>
      </c>
      <c r="G30" s="13" t="s">
        <v>93</v>
      </c>
      <c r="H30" s="14" t="s">
        <v>94</v>
      </c>
    </row>
    <row r="31" spans="1:8" ht="49.5" customHeight="1" x14ac:dyDescent="0.3">
      <c r="A31" s="18" t="s">
        <v>11</v>
      </c>
      <c r="B31" s="19" t="s">
        <v>314</v>
      </c>
      <c r="C31" s="18" t="s">
        <v>315</v>
      </c>
      <c r="D31" s="18">
        <v>2</v>
      </c>
      <c r="E31" s="18">
        <v>160</v>
      </c>
      <c r="F31" s="20">
        <v>80</v>
      </c>
      <c r="G31" s="13" t="s">
        <v>316</v>
      </c>
      <c r="H31" s="14" t="s">
        <v>317</v>
      </c>
    </row>
    <row r="32" spans="1:8" ht="64.05" customHeight="1" x14ac:dyDescent="0.3">
      <c r="A32" s="18" t="s">
        <v>11</v>
      </c>
      <c r="B32" s="19" t="s">
        <v>99</v>
      </c>
      <c r="C32" s="18" t="s">
        <v>318</v>
      </c>
      <c r="D32" s="18">
        <v>3</v>
      </c>
      <c r="E32" s="18">
        <v>151</v>
      </c>
      <c r="F32" s="20">
        <v>50.3</v>
      </c>
      <c r="G32" s="13" t="s">
        <v>101</v>
      </c>
      <c r="H32" s="14" t="s">
        <v>102</v>
      </c>
    </row>
    <row r="33" spans="1:8" ht="78.45" customHeight="1" x14ac:dyDescent="0.3">
      <c r="A33" s="18" t="s">
        <v>11</v>
      </c>
      <c r="B33" s="19" t="s">
        <v>138</v>
      </c>
      <c r="C33" s="18" t="s">
        <v>319</v>
      </c>
      <c r="D33" s="18">
        <v>6</v>
      </c>
      <c r="E33" s="18">
        <v>145</v>
      </c>
      <c r="F33" s="20">
        <v>24.2</v>
      </c>
      <c r="G33" s="13" t="s">
        <v>140</v>
      </c>
      <c r="H33" s="14" t="s">
        <v>141</v>
      </c>
    </row>
    <row r="34" spans="1:8" ht="49.5" customHeight="1" x14ac:dyDescent="0.3">
      <c r="A34" s="18" t="s">
        <v>11</v>
      </c>
      <c r="B34" s="19" t="s">
        <v>289</v>
      </c>
      <c r="C34" s="18" t="s">
        <v>320</v>
      </c>
      <c r="D34" s="18">
        <v>6</v>
      </c>
      <c r="E34" s="18">
        <v>136</v>
      </c>
      <c r="F34" s="20">
        <v>22.7</v>
      </c>
      <c r="G34" s="13" t="s">
        <v>291</v>
      </c>
      <c r="H34" s="14" t="s">
        <v>292</v>
      </c>
    </row>
    <row r="35" spans="1:8" ht="78.45" customHeight="1" x14ac:dyDescent="0.3">
      <c r="A35" s="18" t="s">
        <v>11</v>
      </c>
      <c r="B35" s="19" t="s">
        <v>116</v>
      </c>
      <c r="C35" s="18" t="s">
        <v>309</v>
      </c>
      <c r="D35" s="18">
        <v>3</v>
      </c>
      <c r="E35" s="18">
        <v>125</v>
      </c>
      <c r="F35" s="20">
        <v>41.7</v>
      </c>
      <c r="G35" s="13" t="s">
        <v>118</v>
      </c>
      <c r="H35" s="14" t="s">
        <v>119</v>
      </c>
    </row>
    <row r="36" spans="1:8" ht="49.5" customHeight="1" x14ac:dyDescent="0.3">
      <c r="A36" s="18" t="s">
        <v>11</v>
      </c>
      <c r="B36" s="19" t="s">
        <v>148</v>
      </c>
      <c r="C36" s="18" t="s">
        <v>321</v>
      </c>
      <c r="D36" s="18">
        <v>1</v>
      </c>
      <c r="E36" s="18">
        <v>120</v>
      </c>
      <c r="F36" s="20">
        <v>120</v>
      </c>
      <c r="G36" s="13" t="s">
        <v>265</v>
      </c>
      <c r="H36" s="14" t="s">
        <v>266</v>
      </c>
    </row>
    <row r="37" spans="1:8" ht="64.05" customHeight="1" x14ac:dyDescent="0.3">
      <c r="A37" s="18" t="s">
        <v>11</v>
      </c>
      <c r="B37" s="19" t="s">
        <v>162</v>
      </c>
      <c r="C37" s="18" t="s">
        <v>322</v>
      </c>
      <c r="D37" s="18">
        <v>2</v>
      </c>
      <c r="E37" s="18">
        <v>110</v>
      </c>
      <c r="F37" s="20">
        <v>55</v>
      </c>
      <c r="G37" s="13" t="s">
        <v>164</v>
      </c>
      <c r="H37" s="14" t="s">
        <v>165</v>
      </c>
    </row>
    <row r="38" spans="1:8" ht="165.45" customHeight="1" x14ac:dyDescent="0.3">
      <c r="A38" s="18" t="s">
        <v>11</v>
      </c>
      <c r="B38" s="19" t="s">
        <v>323</v>
      </c>
      <c r="C38" s="18" t="s">
        <v>324</v>
      </c>
      <c r="D38" s="18">
        <v>14</v>
      </c>
      <c r="E38" s="18">
        <v>108</v>
      </c>
      <c r="F38" s="20">
        <v>7.7</v>
      </c>
      <c r="G38" s="13" t="s">
        <v>325</v>
      </c>
      <c r="H38" s="14" t="s">
        <v>98</v>
      </c>
    </row>
    <row r="39" spans="1:8" ht="78.45" customHeight="1" x14ac:dyDescent="0.3">
      <c r="A39" s="18" t="s">
        <v>11</v>
      </c>
      <c r="B39" s="19" t="s">
        <v>27</v>
      </c>
      <c r="C39" s="18" t="s">
        <v>326</v>
      </c>
      <c r="D39" s="18">
        <v>4</v>
      </c>
      <c r="E39" s="18">
        <v>84</v>
      </c>
      <c r="F39" s="20">
        <v>21</v>
      </c>
      <c r="G39" s="13" t="s">
        <v>47</v>
      </c>
      <c r="H39" s="14" t="s">
        <v>75</v>
      </c>
    </row>
    <row r="40" spans="1:8" ht="49.5" customHeight="1" x14ac:dyDescent="0.3">
      <c r="A40" s="18" t="s">
        <v>11</v>
      </c>
      <c r="B40" s="19" t="s">
        <v>327</v>
      </c>
      <c r="C40" s="18" t="s">
        <v>328</v>
      </c>
      <c r="D40" s="18">
        <v>2</v>
      </c>
      <c r="E40" s="18">
        <v>65</v>
      </c>
      <c r="F40" s="20">
        <v>32.5</v>
      </c>
      <c r="G40" s="13" t="s">
        <v>329</v>
      </c>
      <c r="H40" s="14" t="s">
        <v>330</v>
      </c>
    </row>
    <row r="41" spans="1:8" ht="64.05" customHeight="1" x14ac:dyDescent="0.3">
      <c r="A41" s="18" t="s">
        <v>11</v>
      </c>
      <c r="B41" s="19" t="s">
        <v>144</v>
      </c>
      <c r="C41" s="18" t="s">
        <v>331</v>
      </c>
      <c r="D41" s="18">
        <v>2</v>
      </c>
      <c r="E41" s="18">
        <v>53</v>
      </c>
      <c r="F41" s="20">
        <v>26.5</v>
      </c>
      <c r="G41" s="13" t="s">
        <v>146</v>
      </c>
      <c r="H41" s="14" t="s">
        <v>147</v>
      </c>
    </row>
    <row r="42" spans="1:8" ht="64.05" customHeight="1" x14ac:dyDescent="0.3">
      <c r="A42" s="18" t="s">
        <v>11</v>
      </c>
      <c r="B42" s="19" t="s">
        <v>19</v>
      </c>
      <c r="C42" s="18" t="s">
        <v>332</v>
      </c>
      <c r="D42" s="18">
        <v>1</v>
      </c>
      <c r="E42" s="18">
        <v>50</v>
      </c>
      <c r="F42" s="20">
        <v>50</v>
      </c>
      <c r="G42" s="13" t="s">
        <v>66</v>
      </c>
      <c r="H42" s="14" t="s">
        <v>67</v>
      </c>
    </row>
    <row r="43" spans="1:8" ht="64.05" customHeight="1" x14ac:dyDescent="0.3">
      <c r="A43" s="18" t="s">
        <v>11</v>
      </c>
      <c r="B43" s="19" t="s">
        <v>128</v>
      </c>
      <c r="C43" s="18" t="s">
        <v>333</v>
      </c>
      <c r="D43" s="18">
        <v>2</v>
      </c>
      <c r="E43" s="18">
        <v>32</v>
      </c>
      <c r="F43" s="20">
        <v>16</v>
      </c>
      <c r="G43" s="13" t="s">
        <v>130</v>
      </c>
      <c r="H43" s="14" t="s">
        <v>131</v>
      </c>
    </row>
    <row r="44" spans="1:8" ht="49.5" customHeight="1" x14ac:dyDescent="0.3">
      <c r="A44" s="18" t="s">
        <v>11</v>
      </c>
      <c r="B44" s="19" t="s">
        <v>334</v>
      </c>
      <c r="C44" s="18" t="s">
        <v>335</v>
      </c>
      <c r="D44" s="18">
        <v>1</v>
      </c>
      <c r="E44" s="18">
        <v>20</v>
      </c>
      <c r="F44" s="20">
        <v>20</v>
      </c>
      <c r="G44" s="13" t="s">
        <v>336</v>
      </c>
      <c r="H44" s="14" t="s">
        <v>337</v>
      </c>
    </row>
    <row r="45" spans="1:8" ht="34.950000000000003" customHeight="1" x14ac:dyDescent="0.3">
      <c r="A45" s="18" t="s">
        <v>11</v>
      </c>
      <c r="B45" s="19" t="s">
        <v>338</v>
      </c>
      <c r="C45" s="18" t="s">
        <v>339</v>
      </c>
      <c r="D45" s="18">
        <v>1</v>
      </c>
      <c r="E45" s="18">
        <v>20</v>
      </c>
      <c r="F45" s="20">
        <v>20</v>
      </c>
      <c r="G45" s="13" t="s">
        <v>340</v>
      </c>
      <c r="H45" s="14" t="s">
        <v>341</v>
      </c>
    </row>
    <row r="46" spans="1:8" ht="64.05" customHeight="1" x14ac:dyDescent="0.3">
      <c r="A46" s="18" t="s">
        <v>11</v>
      </c>
      <c r="B46" s="19" t="s">
        <v>192</v>
      </c>
      <c r="C46" s="18" t="s">
        <v>342</v>
      </c>
      <c r="D46" s="18">
        <v>1</v>
      </c>
      <c r="E46" s="18">
        <v>16</v>
      </c>
      <c r="F46" s="20">
        <v>16</v>
      </c>
      <c r="G46" s="13" t="s">
        <v>343</v>
      </c>
      <c r="H46" s="14" t="s">
        <v>344</v>
      </c>
    </row>
    <row r="47" spans="1:8" ht="34.950000000000003" customHeight="1" x14ac:dyDescent="0.3">
      <c r="A47" s="18" t="s">
        <v>11</v>
      </c>
      <c r="B47" s="19" t="s">
        <v>209</v>
      </c>
      <c r="C47" s="18" t="s">
        <v>345</v>
      </c>
      <c r="D47" s="18">
        <v>1</v>
      </c>
      <c r="E47" s="18">
        <v>10</v>
      </c>
      <c r="F47" s="20">
        <v>10</v>
      </c>
      <c r="G47" s="13" t="s">
        <v>346</v>
      </c>
      <c r="H47" s="14" t="s">
        <v>347</v>
      </c>
    </row>
  </sheetData>
  <autoFilter ref="A4:H47" xr:uid="{00000000-0009-0000-0000-000005000000}"/>
  <mergeCells count="1">
    <mergeCell ref="A2:H2"/>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4</vt:i4>
      </vt:variant>
    </vt:vector>
  </HeadingPairs>
  <TitlesOfParts>
    <vt:vector size="9" baseType="lpstr">
      <vt:lpstr>Synthèse</vt:lpstr>
      <vt:lpstr>Guide interventions</vt:lpstr>
      <vt:lpstr>Presse 4</vt:lpstr>
      <vt:lpstr>Presse 6</vt:lpstr>
      <vt:lpstr>Presse 7</vt:lpstr>
      <vt:lpstr>'Guide interventions'!Impression_des_titres</vt:lpstr>
      <vt:lpstr>'Presse 4'!Impression_des_titres</vt:lpstr>
      <vt:lpstr>'Presse 6'!Impression_des_titres</vt:lpstr>
      <vt:lpstr>'Presse 7'!Impression_des_titres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Khouloud Ferchichi</cp:lastModifiedBy>
  <dcterms:created xsi:type="dcterms:W3CDTF">2026-10-14T08:28:46Z</dcterms:created>
  <dcterms:modified xsi:type="dcterms:W3CDTF">2026-10-19T10:50:41Z</dcterms:modified>
</cp:coreProperties>
</file>